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גיליון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4" i="1" l="1"/>
  <c r="E25" i="1"/>
  <c r="E26" i="1"/>
  <c r="E23" i="1"/>
  <c r="F101" i="1"/>
  <c r="F99" i="1"/>
  <c r="F98" i="1"/>
  <c r="F100" i="1"/>
  <c r="G38" i="1"/>
  <c r="G40" i="1"/>
  <c r="G41" i="1"/>
  <c r="G39" i="1"/>
  <c r="G26" i="1" l="1"/>
  <c r="G25" i="1"/>
  <c r="G24" i="1"/>
  <c r="G23" i="1"/>
  <c r="K65" i="1"/>
  <c r="I65" i="1"/>
  <c r="H65" i="1"/>
  <c r="G65" i="1"/>
  <c r="F65" i="1"/>
  <c r="E65" i="1"/>
  <c r="K64" i="1"/>
  <c r="I64" i="1"/>
  <c r="H64" i="1"/>
  <c r="G64" i="1"/>
  <c r="F64" i="1"/>
  <c r="E64" i="1"/>
  <c r="K62" i="1"/>
  <c r="I62" i="1"/>
  <c r="H62" i="1"/>
  <c r="G62" i="1"/>
  <c r="F62" i="1"/>
  <c r="E62" i="1"/>
  <c r="K61" i="1"/>
  <c r="I61" i="1"/>
  <c r="H61" i="1"/>
  <c r="G61" i="1"/>
  <c r="F61" i="1"/>
  <c r="E61" i="1"/>
  <c r="M18" i="1"/>
  <c r="J65" i="1" s="1"/>
  <c r="M15" i="1"/>
  <c r="J62" i="1" s="1"/>
  <c r="M16" i="1"/>
  <c r="M17" i="1"/>
  <c r="J64" i="1" s="1"/>
  <c r="M14" i="1"/>
  <c r="J61" i="1" s="1"/>
  <c r="H39" i="1"/>
  <c r="G100" i="1"/>
  <c r="J20" i="1"/>
  <c r="I39" i="1"/>
  <c r="H100" i="1"/>
  <c r="F20" i="1"/>
  <c r="G20" i="1"/>
  <c r="I20" i="1"/>
  <c r="H41" i="1"/>
  <c r="G98" i="1"/>
  <c r="O20" i="1"/>
  <c r="E20" i="1"/>
  <c r="H20" i="1"/>
  <c r="N20" i="1"/>
  <c r="K20" i="1"/>
  <c r="I41" i="1"/>
  <c r="H98" i="1"/>
  <c r="I38" i="1"/>
  <c r="I40" i="1"/>
  <c r="G99" i="1"/>
  <c r="L20" i="1"/>
  <c r="M20" i="1"/>
  <c r="H38" i="1"/>
  <c r="H40" i="1"/>
  <c r="H99" i="1"/>
  <c r="P20" i="1"/>
  <c r="G101" i="1"/>
  <c r="H101" i="1"/>
  <c r="G27" i="1" l="1"/>
  <c r="L64" i="1"/>
  <c r="L62" i="1"/>
  <c r="L65" i="1"/>
  <c r="L61" i="1"/>
  <c r="K63" i="1"/>
  <c r="I63" i="1"/>
  <c r="H63" i="1"/>
  <c r="G63" i="1"/>
  <c r="F63" i="1"/>
  <c r="E63" i="1"/>
  <c r="J63" i="1"/>
  <c r="F67" i="1"/>
  <c r="G67" i="1"/>
  <c r="J67" i="1"/>
  <c r="E67" i="1"/>
  <c r="K67" i="1"/>
  <c r="I67" i="1"/>
  <c r="H67" i="1"/>
  <c r="E27" i="1" l="1"/>
  <c r="L63" i="1"/>
  <c r="E108" i="1"/>
  <c r="E107" i="1"/>
  <c r="L67" i="1"/>
  <c r="E110" i="1"/>
  <c r="E109" i="1"/>
</calcChain>
</file>

<file path=xl/sharedStrings.xml><?xml version="1.0" encoding="utf-8"?>
<sst xmlns="http://schemas.openxmlformats.org/spreadsheetml/2006/main" count="49" uniqueCount="41">
  <si>
    <t>שנה</t>
  </si>
  <si>
    <t>הכנסות</t>
  </si>
  <si>
    <t>רווח תפעולי</t>
  </si>
  <si>
    <t>רווח נקי</t>
  </si>
  <si>
    <t>נכסים שוטפים</t>
  </si>
  <si>
    <t>התחייבויות שוטפות</t>
  </si>
  <si>
    <t>הון עצמי</t>
  </si>
  <si>
    <t>תזרים מפעילות שוטפת</t>
  </si>
  <si>
    <t>השקעות</t>
  </si>
  <si>
    <t>מימון</t>
  </si>
  <si>
    <t>רווח והפסד</t>
  </si>
  <si>
    <t>מאזן</t>
  </si>
  <si>
    <t>תזרים מזומנים</t>
  </si>
  <si>
    <t>יחסי נזילות</t>
  </si>
  <si>
    <t>יחס שוטף</t>
  </si>
  <si>
    <t>יחס מהיר</t>
  </si>
  <si>
    <t>מלאי</t>
  </si>
  <si>
    <t>הון חוזר</t>
  </si>
  <si>
    <t>שיעור רווח תפעולי</t>
  </si>
  <si>
    <t>שיעור הרווח הנקי</t>
  </si>
  <si>
    <t>רווח ביחס להון עצמי (ROE)</t>
  </si>
  <si>
    <t>רווח ביחס לסך הנכסים (ROA)</t>
  </si>
  <si>
    <t>תשואת המנוף הפיננסי</t>
  </si>
  <si>
    <t>יחסים פיננסים</t>
  </si>
  <si>
    <t>רווחיות</t>
  </si>
  <si>
    <t>סה"כ נכסים</t>
  </si>
  <si>
    <t>סה"כ התחייבויות</t>
  </si>
  <si>
    <t>ממוצע:</t>
  </si>
  <si>
    <t>צמיחת הכנסות באחוזים</t>
  </si>
  <si>
    <r>
      <t xml:space="preserve">בתחזית לשנת 2025 אפשר לראות מספר דברים מעניינים.
</t>
    </r>
    <r>
      <rPr>
        <b/>
        <u/>
        <sz val="14"/>
        <color rgb="FF0070C0"/>
        <rFont val="Arial"/>
        <family val="2"/>
        <scheme val="minor"/>
      </rPr>
      <t>יחס שוטף ויחס מהיר:</t>
    </r>
    <r>
      <rPr>
        <b/>
        <sz val="14"/>
        <color rgb="FF0070C0"/>
        <rFont val="Arial"/>
        <family val="2"/>
        <scheme val="minor"/>
      </rPr>
      <t xml:space="preserve"> צפויים להישאר נמוכים ולהמשיך לרדת, מה שעשוי להצביע על סיכון תזרימי ונזילות. החברה עלולה להתקשות לעמוד בהתחייבויות קצרות מועד ללא שימוש במלאי. 
עם זאת, בענף הסופרמרקטים זה לא חריג.
</t>
    </r>
    <r>
      <rPr>
        <b/>
        <u/>
        <sz val="14"/>
        <color rgb="FF0070C0"/>
        <rFont val="Arial"/>
        <family val="2"/>
        <scheme val="minor"/>
      </rPr>
      <t>הון חוזר:</t>
    </r>
    <r>
      <rPr>
        <b/>
        <sz val="14"/>
        <color rgb="FF0070C0"/>
        <rFont val="Arial"/>
        <family val="2"/>
        <scheme val="minor"/>
      </rPr>
      <t xml:space="preserve"> צפוי להישאר שלילי, מה שמעיד על חוסר נכסים שוטפים לכיסוי התחייבויות, אך בתחום הסופרים זה מובן בשל תזרים מזומנים גבוה ממכירות יומיומיות.
</t>
    </r>
    <r>
      <rPr>
        <b/>
        <u/>
        <sz val="14"/>
        <color rgb="FF0070C0"/>
        <rFont val="Arial"/>
        <family val="2"/>
        <scheme val="minor"/>
      </rPr>
      <t>שיעור הרווח התפעולי:</t>
    </r>
    <r>
      <rPr>
        <b/>
        <sz val="14"/>
        <color rgb="FF0070C0"/>
        <rFont val="Arial"/>
        <family val="2"/>
        <scheme val="minor"/>
      </rPr>
      <t xml:space="preserve"> צפוי להישאר נמוך, כלומר כל שקל מכירות יניב מעט רווח לפני מיסים והוצאות מימון. החברה כמעט לא תרוויח מהפעילות השוטפת.
</t>
    </r>
    <r>
      <rPr>
        <b/>
        <u/>
        <sz val="14"/>
        <color rgb="FF0070C0"/>
        <rFont val="Arial"/>
        <family val="2"/>
        <scheme val="minor"/>
      </rPr>
      <t xml:space="preserve">רווח ביחס להון עצמי (ROE): </t>
    </r>
    <r>
      <rPr>
        <b/>
        <sz val="14"/>
        <color rgb="FF0070C0"/>
        <rFont val="Arial"/>
        <family val="2"/>
        <scheme val="minor"/>
      </rPr>
      <t xml:space="preserve">צפוי להיות גבוה מאוד, מה שמעיד על יעילות גבוהה וניצול הון בעלי המניות.
</t>
    </r>
    <r>
      <rPr>
        <b/>
        <u/>
        <sz val="14"/>
        <color rgb="FF0070C0"/>
        <rFont val="Arial"/>
        <family val="2"/>
        <scheme val="minor"/>
      </rPr>
      <t xml:space="preserve">רווח ביחס לסך הנכסים (ROA): </t>
    </r>
    <r>
      <rPr>
        <b/>
        <sz val="14"/>
        <color rgb="FF0070C0"/>
        <rFont val="Arial"/>
        <family val="2"/>
        <scheme val="minor"/>
      </rPr>
      <t xml:space="preserve">מראה יעילות יחסית נמוכה של הנכסים בהפקת רווח.
</t>
    </r>
    <r>
      <rPr>
        <b/>
        <u/>
        <sz val="14"/>
        <color rgb="FF0070C0"/>
        <rFont val="Arial"/>
        <family val="2"/>
        <scheme val="minor"/>
      </rPr>
      <t>תשואת המנוף הפיננסי:</t>
    </r>
    <r>
      <rPr>
        <b/>
        <sz val="14"/>
        <color rgb="FF0070C0"/>
        <rFont val="Arial"/>
        <family val="2"/>
        <scheme val="minor"/>
      </rPr>
      <t xml:space="preserve"> צפויה להיות חיובית, מציגה שימוש במינוף כדי להגדיל את התשואה על ההון, אך גם מלווה בסיכון פיננסי גבוה.
</t>
    </r>
    <r>
      <rPr>
        <b/>
        <u/>
        <sz val="14"/>
        <color rgb="FF0070C0"/>
        <rFont val="Arial"/>
        <family val="2"/>
        <scheme val="minor"/>
      </rPr>
      <t>סיכום:</t>
    </r>
    <r>
      <rPr>
        <b/>
        <sz val="14"/>
        <color rgb="FF0070C0"/>
        <rFont val="Arial"/>
        <family val="2"/>
        <scheme val="minor"/>
      </rPr>
      <t xml:space="preserve"> החברה צפויה להמשיך להראות יעילות טובה בהחזרת רווח על ההון, אך עם רווחיות תפעולית נמוכה וסיכון נזילות קצרה טווח.</t>
    </r>
  </si>
  <si>
    <r>
      <t xml:space="preserve">בתחזית לשנת 2025 אפשר לראות עליה בכל הפרמטרים.
</t>
    </r>
    <r>
      <rPr>
        <b/>
        <u/>
        <sz val="14"/>
        <color rgb="FF0070C0"/>
        <rFont val="Arial"/>
        <family val="2"/>
        <scheme val="minor"/>
      </rPr>
      <t>טוב שעולה:</t>
    </r>
    <r>
      <rPr>
        <b/>
        <sz val="14"/>
        <color rgb="FF0070C0"/>
        <rFont val="Arial"/>
        <family val="2"/>
        <scheme val="minor"/>
      </rPr>
      <t xml:space="preserve"> הכנסות, רווח תפעולי, רווח נקי, נכסים שוטפים, סה"כ נכסים, הון עצמי, תזרים מפעילות שוטפת.
</t>
    </r>
    <r>
      <rPr>
        <b/>
        <u/>
        <sz val="14"/>
        <color rgb="FF0070C0"/>
        <rFont val="Arial"/>
        <family val="2"/>
        <scheme val="minor"/>
      </rPr>
      <t>פחות טוב שעולה:</t>
    </r>
    <r>
      <rPr>
        <b/>
        <sz val="14"/>
        <color rgb="FF0070C0"/>
        <rFont val="Arial"/>
        <family val="2"/>
        <scheme val="minor"/>
      </rPr>
      <t xml:space="preserve"> מלאי, התחייבויות שוטפות, סה"כ התחייבויות, מימון.
</t>
    </r>
    <r>
      <rPr>
        <b/>
        <u/>
        <sz val="14"/>
        <color rgb="FF0070C0"/>
        <rFont val="Arial"/>
        <family val="2"/>
        <scheme val="minor"/>
      </rPr>
      <t>*השקעות:</t>
    </r>
    <r>
      <rPr>
        <b/>
        <sz val="14"/>
        <color rgb="FF0070C0"/>
        <rFont val="Arial"/>
        <family val="2"/>
        <scheme val="minor"/>
      </rPr>
      <t xml:space="preserve"> טוב לצמיחה מסוכן להוצאות בלי תוצאה.</t>
    </r>
  </si>
  <si>
    <t>תחזית</t>
  </si>
  <si>
    <t>ציר זמן</t>
  </si>
  <si>
    <t>ערכים</t>
  </si>
  <si>
    <t>גבול תחתון 
של ביטחון</t>
  </si>
  <si>
    <t>גבול עליון 
של ביטחון</t>
  </si>
  <si>
    <t>ממוצע תחזית:</t>
  </si>
  <si>
    <t>התחזית מראה מגמת עלייה יציבה בהכנסות, מ-7.38 מיליון בשנת 2024 עד ל-8.74 מיליון בשנת 2028, גידול של כ-18% וממוצע שנתי של 4.3%.
טווח הביטחון נשאר צר יחסית, מה שמעיד על רמת ודאות טובה בתחזית.
בסך הכול, תחזית חיובית עם צמיחה מתונה ויציבה.</t>
  </si>
  <si>
    <t>תחזית המנוף הפיננסי</t>
  </si>
  <si>
    <t>התחזית מראה גידול עקבי ב-ROE. העלייה מצביעה על יעילות גוברת בניצול ההון העצמי לאורך השנים.
טווח הביטחון נשאר סביר, מה שמעיד על ודאות יחסית בתחזית.
תשואת המנוף נמוכה יחסית, כלומר הרווח על ההון נובע בעיקר מהפעילות העסקית ולא ממינוף קיצוני.
זה מעיד על יעילות טובה של ההון עם סיכון פיננסי נמוך-בינוני.</t>
  </si>
  <si>
    <t>פרויקט דוחות כספיים - "רמי לוי - שיווק השיקמה"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</si>
</sst>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0.000"/>
    <numFmt numFmtId="165" formatCode="_ * #,##0_ ;_ * \-#,##0_ ;_ * &quot;-&quot;??_ ;_ @_ "/>
  </numFmts>
  <fonts count="9" x14ac:knownFonts="1">
    <font>
      <sz val="11"/>
      <color theme="1"/>
      <name val="Arial"/>
      <family val="2"/>
      <scheme val="minor"/>
    </font>
    <font>
      <sz val="11"/>
      <color theme="1"/>
      <name val="Arial"/>
      <family val="2"/>
      <scheme val="minor"/>
    </font>
    <font>
      <b/>
      <sz val="11"/>
      <color theme="1"/>
      <name val="Arial"/>
      <family val="2"/>
      <scheme val="minor"/>
    </font>
    <font>
      <b/>
      <sz val="12"/>
      <color rgb="FF0070C0"/>
      <name val="Arial"/>
      <family val="2"/>
      <scheme val="minor"/>
    </font>
    <font>
      <b/>
      <sz val="72"/>
      <color theme="1"/>
      <name val="Arial"/>
      <family val="2"/>
      <scheme val="minor"/>
    </font>
    <font>
      <b/>
      <sz val="14"/>
      <color rgb="FF0070C0"/>
      <name val="Arial"/>
      <family val="2"/>
      <scheme val="minor"/>
    </font>
    <font>
      <b/>
      <u/>
      <sz val="14"/>
      <color rgb="FF0070C0"/>
      <name val="Arial"/>
      <family val="2"/>
      <scheme val="minor"/>
    </font>
    <font>
      <b/>
      <sz val="11"/>
      <name val="Arial"/>
      <family val="2"/>
      <scheme val="minor"/>
    </font>
    <font>
      <b/>
      <sz val="65"/>
      <color theme="1"/>
      <name val="Arial"/>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bgColor indexed="64"/>
      </patternFill>
    </fill>
    <fill>
      <patternFill patternType="solid">
        <fgColor rgb="FF92D050"/>
        <bgColor indexed="64"/>
      </patternFill>
    </fill>
    <fill>
      <patternFill patternType="solid">
        <fgColor theme="4" tint="0.39997558519241921"/>
        <bgColor indexed="64"/>
      </patternFill>
    </fill>
    <fill>
      <patternFill patternType="solid">
        <fgColor theme="5" tint="0.59999389629810485"/>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5">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165" fontId="0" fillId="0" borderId="16" xfId="1" applyNumberFormat="1" applyFont="1" applyBorder="1" applyAlignment="1">
      <alignment horizontal="center" vertical="center"/>
    </xf>
    <xf numFmtId="165" fontId="0" fillId="0" borderId="17" xfId="1" applyNumberFormat="1" applyFont="1" applyBorder="1" applyAlignment="1">
      <alignment horizontal="center" vertical="center"/>
    </xf>
    <xf numFmtId="165" fontId="0" fillId="0" borderId="20" xfId="1" applyNumberFormat="1" applyFont="1" applyBorder="1" applyAlignment="1">
      <alignment horizontal="center" vertical="center"/>
    </xf>
    <xf numFmtId="165" fontId="0" fillId="0" borderId="21" xfId="1" applyNumberFormat="1" applyFont="1" applyBorder="1" applyAlignment="1">
      <alignment horizontal="center" vertical="center"/>
    </xf>
    <xf numFmtId="0" fontId="3" fillId="0" borderId="0" xfId="0" applyFont="1" applyAlignment="1">
      <alignment horizontal="center" vertical="center" wrapText="1"/>
    </xf>
    <xf numFmtId="164" fontId="0" fillId="0" borderId="16"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20" xfId="0" applyNumberFormat="1" applyBorder="1" applyAlignment="1">
      <alignment horizontal="center" vertical="center"/>
    </xf>
    <xf numFmtId="164" fontId="0" fillId="0" borderId="21" xfId="0" applyNumberFormat="1" applyBorder="1"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xf>
    <xf numFmtId="0" fontId="3" fillId="0" borderId="0" xfId="0" applyFont="1" applyAlignment="1">
      <alignment vertical="center" wrapText="1"/>
    </xf>
    <xf numFmtId="10" fontId="0" fillId="0" borderId="0" xfId="0" applyNumberFormat="1" applyBorder="1" applyAlignment="1">
      <alignment horizontal="center" vertical="center"/>
    </xf>
    <xf numFmtId="0" fontId="0" fillId="0" borderId="0" xfId="0" applyBorder="1" applyAlignment="1">
      <alignment horizontal="center" vertical="center"/>
    </xf>
    <xf numFmtId="164" fontId="0" fillId="0" borderId="0" xfId="0" applyNumberFormat="1" applyBorder="1" applyAlignment="1">
      <alignment horizontal="center" vertical="center"/>
    </xf>
    <xf numFmtId="1" fontId="0" fillId="0" borderId="0" xfId="0" applyNumberFormat="1" applyBorder="1" applyAlignment="1">
      <alignment horizontal="center" vertical="center"/>
    </xf>
    <xf numFmtId="0" fontId="5" fillId="0" borderId="0" xfId="0" applyFont="1" applyBorder="1" applyAlignment="1">
      <alignment horizontal="right" vertical="center" wrapText="1"/>
    </xf>
    <xf numFmtId="165" fontId="0" fillId="0" borderId="24" xfId="1" applyNumberFormat="1" applyFont="1" applyBorder="1" applyAlignment="1">
      <alignment horizontal="center" vertical="center"/>
    </xf>
    <xf numFmtId="0" fontId="2" fillId="6" borderId="9" xfId="0" applyFont="1" applyFill="1" applyBorder="1" applyAlignment="1">
      <alignment horizontal="center" vertical="center" wrapText="1"/>
    </xf>
    <xf numFmtId="165" fontId="0" fillId="0" borderId="25" xfId="1" applyNumberFormat="1"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18" xfId="0" applyFont="1" applyBorder="1" applyAlignment="1">
      <alignment horizontal="center" vertical="center"/>
    </xf>
    <xf numFmtId="0" fontId="2" fillId="0" borderId="28" xfId="0" applyFont="1" applyBorder="1" applyAlignment="1">
      <alignment horizontal="center" vertical="center"/>
    </xf>
    <xf numFmtId="165" fontId="0" fillId="0" borderId="29" xfId="1" applyNumberFormat="1" applyFont="1" applyBorder="1" applyAlignment="1">
      <alignment horizontal="center" vertical="center"/>
    </xf>
    <xf numFmtId="165" fontId="0" fillId="0" borderId="30" xfId="1" applyNumberFormat="1" applyFont="1" applyBorder="1" applyAlignment="1">
      <alignment horizontal="center" vertical="center"/>
    </xf>
    <xf numFmtId="165" fontId="0" fillId="0" borderId="15" xfId="1" applyNumberFormat="1" applyFont="1" applyBorder="1" applyAlignment="1">
      <alignment horizontal="center" vertical="center"/>
    </xf>
    <xf numFmtId="165" fontId="0" fillId="0" borderId="19" xfId="1" applyNumberFormat="1" applyFont="1" applyBorder="1" applyAlignment="1">
      <alignment horizontal="center" vertical="center"/>
    </xf>
    <xf numFmtId="0" fontId="2" fillId="0" borderId="31" xfId="0" applyFont="1" applyBorder="1" applyAlignment="1">
      <alignment horizontal="center" vertical="center"/>
    </xf>
    <xf numFmtId="165" fontId="0" fillId="0" borderId="32" xfId="1" applyNumberFormat="1" applyFont="1" applyBorder="1" applyAlignment="1">
      <alignment horizontal="center" vertical="center"/>
    </xf>
    <xf numFmtId="165" fontId="0" fillId="0" borderId="33" xfId="1" applyNumberFormat="1" applyFont="1" applyBorder="1" applyAlignment="1">
      <alignment horizontal="center" vertical="center"/>
    </xf>
    <xf numFmtId="165" fontId="0" fillId="0" borderId="23" xfId="1" applyNumberFormat="1" applyFont="1" applyBorder="1" applyAlignment="1">
      <alignment horizontal="center" vertical="center"/>
    </xf>
    <xf numFmtId="165" fontId="0" fillId="0" borderId="34" xfId="1" applyNumberFormat="1" applyFont="1" applyBorder="1" applyAlignment="1">
      <alignment horizontal="center" vertical="center"/>
    </xf>
    <xf numFmtId="164" fontId="0" fillId="0" borderId="15" xfId="0" applyNumberFormat="1" applyBorder="1" applyAlignment="1">
      <alignment horizontal="center" vertical="center"/>
    </xf>
    <xf numFmtId="164" fontId="0" fillId="0" borderId="19" xfId="0" applyNumberFormat="1" applyBorder="1" applyAlignment="1">
      <alignment horizontal="center" vertical="center"/>
    </xf>
    <xf numFmtId="0" fontId="2" fillId="0" borderId="35" xfId="0" applyFont="1" applyBorder="1" applyAlignment="1">
      <alignment horizontal="center" vertical="center"/>
    </xf>
    <xf numFmtId="164" fontId="0" fillId="0" borderId="23" xfId="0" applyNumberFormat="1" applyBorder="1" applyAlignment="1">
      <alignment horizontal="center" vertical="center"/>
    </xf>
    <xf numFmtId="164" fontId="0" fillId="0" borderId="34" xfId="0" applyNumberFormat="1" applyBorder="1" applyAlignment="1">
      <alignment horizontal="center" vertical="center"/>
    </xf>
    <xf numFmtId="164" fontId="0" fillId="0" borderId="24" xfId="0" applyNumberFormat="1" applyBorder="1" applyAlignment="1">
      <alignment horizontal="center" vertical="center"/>
    </xf>
    <xf numFmtId="0" fontId="2" fillId="6" borderId="22" xfId="0" applyFont="1" applyFill="1" applyBorder="1" applyAlignment="1">
      <alignment horizontal="center" vertical="center"/>
    </xf>
    <xf numFmtId="0" fontId="0" fillId="0" borderId="0" xfId="0" applyNumberFormat="1"/>
    <xf numFmtId="165" fontId="0" fillId="0" borderId="0" xfId="0" applyNumberFormat="1"/>
    <xf numFmtId="0" fontId="0" fillId="0" borderId="0" xfId="0" applyAlignment="1">
      <alignment wrapText="1"/>
    </xf>
    <xf numFmtId="0" fontId="2" fillId="0" borderId="22" xfId="0" applyFont="1" applyBorder="1" applyAlignment="1">
      <alignment horizontal="center" vertical="center"/>
    </xf>
    <xf numFmtId="0" fontId="2" fillId="0" borderId="0" xfId="0" applyFont="1" applyBorder="1" applyAlignment="1">
      <alignment horizontal="center" vertical="center"/>
    </xf>
    <xf numFmtId="10" fontId="2" fillId="0" borderId="0" xfId="0" applyNumberFormat="1" applyFont="1" applyBorder="1" applyAlignment="1">
      <alignment horizontal="center" vertical="center"/>
    </xf>
    <xf numFmtId="10" fontId="2" fillId="0" borderId="22" xfId="2" applyNumberFormat="1" applyFont="1" applyBorder="1" applyAlignment="1">
      <alignment horizontal="center" vertical="center"/>
    </xf>
    <xf numFmtId="0" fontId="7" fillId="6" borderId="22" xfId="0" applyFont="1" applyFill="1" applyBorder="1" applyAlignment="1">
      <alignment horizontal="center" vertical="center" wrapText="1"/>
    </xf>
    <xf numFmtId="0" fontId="5" fillId="0" borderId="0" xfId="0" applyFont="1" applyBorder="1" applyAlignment="1">
      <alignment vertical="center"/>
    </xf>
    <xf numFmtId="0" fontId="3" fillId="0" borderId="0" xfId="0" applyFont="1" applyBorder="1" applyAlignment="1">
      <alignment horizontal="center" vertical="center" wrapText="1"/>
    </xf>
    <xf numFmtId="0" fontId="3" fillId="0" borderId="0" xfId="0" applyFont="1" applyBorder="1" applyAlignment="1">
      <alignment vertical="center" wrapText="1"/>
    </xf>
    <xf numFmtId="164" fontId="0" fillId="0" borderId="0" xfId="0" applyNumberFormat="1"/>
    <xf numFmtId="0" fontId="5" fillId="0" borderId="0" xfId="0" applyFont="1" applyAlignment="1">
      <alignment vertical="center" wrapText="1"/>
    </xf>
    <xf numFmtId="0" fontId="5" fillId="0" borderId="0" xfId="0" applyFont="1" applyBorder="1" applyAlignment="1">
      <alignment vertical="center" wrapText="1"/>
    </xf>
    <xf numFmtId="0" fontId="2" fillId="6" borderId="15" xfId="0" applyFont="1" applyFill="1" applyBorder="1" applyAlignment="1">
      <alignment horizontal="center" vertical="center"/>
    </xf>
    <xf numFmtId="0" fontId="2" fillId="6" borderId="19" xfId="0" applyFont="1" applyFill="1" applyBorder="1" applyAlignment="1">
      <alignment horizontal="center" vertical="center"/>
    </xf>
    <xf numFmtId="0" fontId="2" fillId="6" borderId="37" xfId="0" applyFont="1" applyFill="1" applyBorder="1" applyAlignment="1">
      <alignment horizontal="center" vertical="center"/>
    </xf>
    <xf numFmtId="164" fontId="0" fillId="0" borderId="38" xfId="0" applyNumberFormat="1" applyBorder="1" applyAlignment="1">
      <alignment horizontal="center" vertical="center"/>
    </xf>
    <xf numFmtId="0" fontId="2" fillId="0" borderId="39" xfId="0" applyFont="1" applyBorder="1" applyAlignment="1">
      <alignment horizontal="center" vertical="center"/>
    </xf>
    <xf numFmtId="0" fontId="2" fillId="0" borderId="36" xfId="0" applyFont="1" applyBorder="1" applyAlignment="1">
      <alignment horizontal="center" vertical="center"/>
    </xf>
    <xf numFmtId="10" fontId="0" fillId="0" borderId="39" xfId="2" applyNumberFormat="1" applyFont="1" applyBorder="1" applyAlignment="1">
      <alignment horizontal="center" vertical="center"/>
    </xf>
    <xf numFmtId="10" fontId="0" fillId="0" borderId="36" xfId="2" applyNumberFormat="1" applyFont="1" applyBorder="1" applyAlignment="1">
      <alignment horizontal="center" vertical="center"/>
    </xf>
    <xf numFmtId="0" fontId="7" fillId="6" borderId="39" xfId="0" applyFont="1" applyFill="1" applyBorder="1" applyAlignment="1">
      <alignment horizontal="center" vertical="center" wrapText="1"/>
    </xf>
    <xf numFmtId="0" fontId="7" fillId="6" borderId="36" xfId="0" applyFont="1" applyFill="1" applyBorder="1" applyAlignment="1">
      <alignment horizontal="center" vertical="center" wrapText="1"/>
    </xf>
    <xf numFmtId="0" fontId="2" fillId="0" borderId="40" xfId="0" applyFont="1" applyBorder="1" applyAlignment="1">
      <alignment horizontal="center" vertical="center"/>
    </xf>
    <xf numFmtId="10" fontId="0" fillId="0" borderId="40" xfId="2" applyNumberFormat="1" applyFont="1" applyBorder="1" applyAlignment="1">
      <alignment horizontal="center" vertical="center"/>
    </xf>
    <xf numFmtId="0" fontId="7" fillId="6" borderId="40" xfId="0" applyFont="1" applyFill="1" applyBorder="1" applyAlignment="1">
      <alignment horizontal="center" vertical="center" wrapText="1"/>
    </xf>
    <xf numFmtId="10" fontId="2" fillId="0" borderId="22" xfId="0" applyNumberFormat="1" applyFont="1" applyBorder="1" applyAlignment="1">
      <alignment horizontal="center" vertical="center"/>
    </xf>
    <xf numFmtId="0" fontId="2" fillId="0" borderId="0" xfId="0" applyFont="1" applyFill="1" applyBorder="1" applyAlignment="1">
      <alignment vertical="center"/>
    </xf>
    <xf numFmtId="0" fontId="8"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0" fillId="0" borderId="2" xfId="0" applyBorder="1" applyAlignment="1">
      <alignment horizontal="center" vertical="center"/>
    </xf>
    <xf numFmtId="0" fontId="2" fillId="10" borderId="9" xfId="0" applyFont="1" applyFill="1" applyBorder="1" applyAlignment="1">
      <alignment horizontal="center" vertical="center"/>
    </xf>
    <xf numFmtId="0" fontId="2" fillId="10" borderId="10" xfId="0" applyFont="1" applyFill="1" applyBorder="1" applyAlignment="1">
      <alignment horizontal="center" vertical="center"/>
    </xf>
    <xf numFmtId="0" fontId="2" fillId="10" borderId="11" xfId="0" applyFont="1" applyFill="1" applyBorder="1" applyAlignment="1">
      <alignment horizontal="center" vertical="center"/>
    </xf>
    <xf numFmtId="0" fontId="2" fillId="4" borderId="10"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1" xfId="0" applyFont="1" applyFill="1" applyBorder="1" applyAlignment="1">
      <alignment horizontal="center" vertical="center"/>
    </xf>
    <xf numFmtId="0" fontId="5" fillId="0" borderId="1" xfId="0" applyFont="1" applyBorder="1" applyAlignment="1">
      <alignment horizontal="right" vertical="center" wrapText="1"/>
    </xf>
    <xf numFmtId="0" fontId="5" fillId="0" borderId="2" xfId="0" applyFont="1" applyBorder="1" applyAlignment="1">
      <alignment horizontal="right" vertical="center" wrapText="1"/>
    </xf>
    <xf numFmtId="0" fontId="5" fillId="0" borderId="3" xfId="0" applyFont="1" applyBorder="1" applyAlignment="1">
      <alignment horizontal="right" vertical="center" wrapText="1"/>
    </xf>
    <xf numFmtId="0" fontId="5" fillId="0" borderId="4" xfId="0" applyFont="1" applyBorder="1" applyAlignment="1">
      <alignment horizontal="right" vertical="center" wrapText="1"/>
    </xf>
    <xf numFmtId="0" fontId="5" fillId="0" borderId="0" xfId="0" applyFont="1" applyBorder="1" applyAlignment="1">
      <alignment horizontal="right" vertical="center" wrapText="1"/>
    </xf>
    <xf numFmtId="0" fontId="5" fillId="0" borderId="5" xfId="0" applyFont="1" applyBorder="1" applyAlignment="1">
      <alignment horizontal="right" vertical="center" wrapText="1"/>
    </xf>
    <xf numFmtId="0" fontId="5" fillId="0" borderId="6" xfId="0" applyFont="1" applyBorder="1" applyAlignment="1">
      <alignment horizontal="right" vertical="center" wrapText="1"/>
    </xf>
    <xf numFmtId="0" fontId="5" fillId="0" borderId="7" xfId="0" applyFont="1" applyBorder="1" applyAlignment="1">
      <alignment horizontal="right" vertical="center" wrapText="1"/>
    </xf>
    <xf numFmtId="0" fontId="5" fillId="0" borderId="8" xfId="0" applyFont="1" applyBorder="1" applyAlignment="1">
      <alignment horizontal="right" vertical="center" wrapText="1"/>
    </xf>
    <xf numFmtId="0" fontId="2" fillId="7" borderId="1"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7" xfId="0" applyFont="1" applyFill="1" applyBorder="1" applyAlignment="1">
      <alignment horizontal="center" vertical="center"/>
    </xf>
    <xf numFmtId="0" fontId="2" fillId="7" borderId="8"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8" borderId="1" xfId="0" applyFont="1" applyFill="1" applyBorder="1" applyAlignment="1">
      <alignment horizontal="center" vertical="center"/>
    </xf>
    <xf numFmtId="0" fontId="2"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0"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2" fillId="5" borderId="23" xfId="0" applyFont="1" applyFill="1" applyBorder="1" applyAlignment="1">
      <alignment horizontal="center" vertical="center"/>
    </xf>
    <xf numFmtId="0" fontId="2" fillId="5" borderId="24"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0" xfId="0" applyFont="1" applyFill="1" applyBorder="1" applyAlignment="1">
      <alignment horizontal="center" vertical="center"/>
    </xf>
    <xf numFmtId="0" fontId="2" fillId="5" borderId="5" xfId="0" applyFont="1" applyFill="1" applyBorder="1" applyAlignment="1">
      <alignment horizontal="center" vertical="center"/>
    </xf>
  </cellXfs>
  <cellStyles count="3">
    <cellStyle name="Comma" xfId="1" builtinId="3"/>
    <cellStyle name="Normal" xfId="0" builtinId="0"/>
    <cellStyle name="Percent" xfId="2" builtinId="5"/>
  </cellStyles>
  <dxfs count="8">
    <dxf>
      <numFmt numFmtId="164" formatCode="0.000"/>
    </dxf>
    <dxf>
      <numFmt numFmtId="164" formatCode="0.000"/>
    </dxf>
    <dxf>
      <numFmt numFmtId="164" formatCode="0.000"/>
    </dxf>
    <dxf>
      <numFmt numFmtId="0" formatCode="General"/>
    </dxf>
    <dxf>
      <numFmt numFmtId="165" formatCode="_ * #,##0_ ;_ * \-#,##0_ ;_ * &quot;-&quot;??_ ;_ @_ "/>
    </dxf>
    <dxf>
      <numFmt numFmtId="165" formatCode="_ * #,##0_ ;_ * \-#,##0_ ;_ * &quot;-&quot;??_ ;_ @_ "/>
    </dxf>
    <dxf>
      <numFmt numFmtId="165" formatCode="_ * #,##0_ ;_ * \-#,##0_ ;_ * &quot;-&quot;??_ ;_ @_ "/>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he-IL" sz="1800" b="1"/>
              <a:t>תחזית</a:t>
            </a:r>
            <a:r>
              <a:rPr lang="he-IL" sz="1800" b="1" baseline="0"/>
              <a:t> הכנסות</a:t>
            </a:r>
            <a:endParaRPr lang="he-IL" sz="1800" b="1"/>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he-IL"/>
        </a:p>
      </c:txPr>
    </c:title>
    <c:autoTitleDeleted val="0"/>
    <c:plotArea>
      <c:layout/>
      <c:lineChart>
        <c:grouping val="standard"/>
        <c:varyColors val="0"/>
        <c:ser>
          <c:idx val="0"/>
          <c:order val="0"/>
          <c:tx>
            <c:strRef>
              <c:f>גיליון1!$F$32</c:f>
              <c:strCache>
                <c:ptCount val="1"/>
                <c:pt idx="0">
                  <c:v>ערכים</c:v>
                </c:pt>
              </c:strCache>
            </c:strRef>
          </c:tx>
          <c:spPr>
            <a:ln w="38100" cap="rnd" cmpd="sng" algn="ctr">
              <a:solidFill>
                <a:schemeClr val="accent1"/>
              </a:solidFill>
              <a:round/>
            </a:ln>
            <a:effectLst/>
          </c:spPr>
          <c:marker>
            <c:symbol val="none"/>
          </c:marker>
          <c:val>
            <c:numRef>
              <c:f>גיליון1!$F$33:$F$41</c:f>
              <c:numCache>
                <c:formatCode>_ * #,##0_ ;_ * \-#,##0_ ;_ * "-"??_ ;_ @_ </c:formatCode>
                <c:ptCount val="9"/>
                <c:pt idx="0">
                  <c:v>6465660</c:v>
                </c:pt>
                <c:pt idx="1">
                  <c:v>6452896</c:v>
                </c:pt>
                <c:pt idx="2">
                  <c:v>7042166</c:v>
                </c:pt>
                <c:pt idx="3">
                  <c:v>7181901</c:v>
                </c:pt>
                <c:pt idx="4">
                  <c:v>7383222</c:v>
                </c:pt>
              </c:numCache>
            </c:numRef>
          </c:val>
          <c:smooth val="0"/>
          <c:extLst>
            <c:ext xmlns:c16="http://schemas.microsoft.com/office/drawing/2014/chart" uri="{C3380CC4-5D6E-409C-BE32-E72D297353CC}">
              <c16:uniqueId val="{00000000-9C5E-43F2-AE0D-1AD91C1F9D7C}"/>
            </c:ext>
          </c:extLst>
        </c:ser>
        <c:ser>
          <c:idx val="1"/>
          <c:order val="1"/>
          <c:tx>
            <c:strRef>
              <c:f>גיליון1!$G$32</c:f>
              <c:strCache>
                <c:ptCount val="1"/>
                <c:pt idx="0">
                  <c:v>תחזית</c:v>
                </c:pt>
              </c:strCache>
            </c:strRef>
          </c:tx>
          <c:spPr>
            <a:ln w="38100" cap="rnd" cmpd="sng" algn="ctr">
              <a:solidFill>
                <a:srgbClr val="92D050"/>
              </a:solidFill>
              <a:round/>
            </a:ln>
            <a:effectLst/>
          </c:spPr>
          <c:marker>
            <c:symbol val="none"/>
          </c:marker>
          <c:cat>
            <c:numRef>
              <c:f>גיליון1!$E$33:$E$41</c:f>
              <c:numCache>
                <c:formatCode>General</c:formatCode>
                <c:ptCount val="9"/>
                <c:pt idx="0">
                  <c:v>2020</c:v>
                </c:pt>
                <c:pt idx="1">
                  <c:v>2021</c:v>
                </c:pt>
                <c:pt idx="2">
                  <c:v>2022</c:v>
                </c:pt>
                <c:pt idx="3">
                  <c:v>2023</c:v>
                </c:pt>
                <c:pt idx="4">
                  <c:v>2024</c:v>
                </c:pt>
                <c:pt idx="5">
                  <c:v>2025</c:v>
                </c:pt>
                <c:pt idx="6">
                  <c:v>2026</c:v>
                </c:pt>
                <c:pt idx="7">
                  <c:v>2027</c:v>
                </c:pt>
                <c:pt idx="8">
                  <c:v>2028</c:v>
                </c:pt>
              </c:numCache>
            </c:numRef>
          </c:cat>
          <c:val>
            <c:numRef>
              <c:f>גיליון1!$G$33:$G$41</c:f>
              <c:numCache>
                <c:formatCode>General</c:formatCode>
                <c:ptCount val="9"/>
                <c:pt idx="4" formatCode="_ * #,##0_ ;_ * \-#,##0_ ;_ * &quot;-&quot;??_ ;_ @_ ">
                  <c:v>7383222</c:v>
                </c:pt>
                <c:pt idx="5" formatCode="_ * #,##0_ ;_ * \-#,##0_ ;_ * &quot;-&quot;??_ ;_ @_ ">
                  <c:v>7648925.2191258278</c:v>
                </c:pt>
                <c:pt idx="6" formatCode="_ * #,##0_ ;_ * \-#,##0_ ;_ * &quot;-&quot;??_ ;_ @_ ">
                  <c:v>8163408.2672517169</c:v>
                </c:pt>
                <c:pt idx="7" formatCode="_ * #,##0_ ;_ * \-#,##0_ ;_ * &quot;-&quot;??_ ;_ @_ ">
                  <c:v>8224472.3619169015</c:v>
                </c:pt>
                <c:pt idx="8" formatCode="_ * #,##0_ ;_ * \-#,##0_ ;_ * &quot;-&quot;??_ ;_ @_ ">
                  <c:v>8738955.4100427888</c:v>
                </c:pt>
              </c:numCache>
            </c:numRef>
          </c:val>
          <c:smooth val="0"/>
          <c:extLst>
            <c:ext xmlns:c16="http://schemas.microsoft.com/office/drawing/2014/chart" uri="{C3380CC4-5D6E-409C-BE32-E72D297353CC}">
              <c16:uniqueId val="{00000001-9C5E-43F2-AE0D-1AD91C1F9D7C}"/>
            </c:ext>
          </c:extLst>
        </c:ser>
        <c:ser>
          <c:idx val="2"/>
          <c:order val="2"/>
          <c:tx>
            <c:strRef>
              <c:f>גיליון1!$H$32</c:f>
              <c:strCache>
                <c:ptCount val="1"/>
                <c:pt idx="0">
                  <c:v>גבול תחתון 
של ביטחון</c:v>
                </c:pt>
              </c:strCache>
            </c:strRef>
          </c:tx>
          <c:spPr>
            <a:ln w="9525" cap="rnd" cmpd="sng" algn="ctr">
              <a:solidFill>
                <a:schemeClr val="tx2">
                  <a:lumMod val="40000"/>
                  <a:lumOff val="60000"/>
                </a:schemeClr>
              </a:solidFill>
              <a:round/>
            </a:ln>
            <a:effectLst/>
          </c:spPr>
          <c:marker>
            <c:symbol val="none"/>
          </c:marker>
          <c:cat>
            <c:numRef>
              <c:f>גיליון1!$E$33:$E$41</c:f>
              <c:numCache>
                <c:formatCode>General</c:formatCode>
                <c:ptCount val="9"/>
                <c:pt idx="0">
                  <c:v>2020</c:v>
                </c:pt>
                <c:pt idx="1">
                  <c:v>2021</c:v>
                </c:pt>
                <c:pt idx="2">
                  <c:v>2022</c:v>
                </c:pt>
                <c:pt idx="3">
                  <c:v>2023</c:v>
                </c:pt>
                <c:pt idx="4">
                  <c:v>2024</c:v>
                </c:pt>
                <c:pt idx="5">
                  <c:v>2025</c:v>
                </c:pt>
                <c:pt idx="6">
                  <c:v>2026</c:v>
                </c:pt>
                <c:pt idx="7">
                  <c:v>2027</c:v>
                </c:pt>
                <c:pt idx="8">
                  <c:v>2028</c:v>
                </c:pt>
              </c:numCache>
            </c:numRef>
          </c:cat>
          <c:val>
            <c:numRef>
              <c:f>גיליון1!$H$33:$H$41</c:f>
              <c:numCache>
                <c:formatCode>General</c:formatCode>
                <c:ptCount val="9"/>
                <c:pt idx="4" formatCode="_ * #,##0_ ;_ * \-#,##0_ ;_ * &quot;-&quot;??_ ;_ @_ ">
                  <c:v>7383222</c:v>
                </c:pt>
                <c:pt idx="5" formatCode="_ * #,##0_ ;_ * \-#,##0_ ;_ * &quot;-&quot;??_ ;_ @_ ">
                  <c:v>7414624.7775981603</c:v>
                </c:pt>
                <c:pt idx="6" formatCode="_ * #,##0_ ;_ * \-#,##0_ ;_ * &quot;-&quot;??_ ;_ @_ ">
                  <c:v>7929106.7713744352</c:v>
                </c:pt>
                <c:pt idx="7" formatCode="_ * #,##0_ ;_ * \-#,##0_ ;_ * &quot;-&quot;??_ ;_ @_ ">
                  <c:v>7988229.4214859847</c:v>
                </c:pt>
                <c:pt idx="8" formatCode="_ * #,##0_ ;_ * \-#,##0_ ;_ * &quot;-&quot;??_ ;_ @_ ">
                  <c:v>8502709.5649557933</c:v>
                </c:pt>
              </c:numCache>
            </c:numRef>
          </c:val>
          <c:smooth val="0"/>
          <c:extLst>
            <c:ext xmlns:c16="http://schemas.microsoft.com/office/drawing/2014/chart" uri="{C3380CC4-5D6E-409C-BE32-E72D297353CC}">
              <c16:uniqueId val="{00000002-9C5E-43F2-AE0D-1AD91C1F9D7C}"/>
            </c:ext>
          </c:extLst>
        </c:ser>
        <c:ser>
          <c:idx val="3"/>
          <c:order val="3"/>
          <c:tx>
            <c:strRef>
              <c:f>גיליון1!$I$32</c:f>
              <c:strCache>
                <c:ptCount val="1"/>
                <c:pt idx="0">
                  <c:v>גבול עליון 
של ביטחון</c:v>
                </c:pt>
              </c:strCache>
            </c:strRef>
          </c:tx>
          <c:spPr>
            <a:ln w="9525" cap="rnd" cmpd="sng" algn="ctr">
              <a:solidFill>
                <a:schemeClr val="tx2">
                  <a:lumMod val="40000"/>
                  <a:lumOff val="60000"/>
                </a:schemeClr>
              </a:solidFill>
              <a:round/>
            </a:ln>
            <a:effectLst/>
          </c:spPr>
          <c:marker>
            <c:symbol val="none"/>
          </c:marker>
          <c:cat>
            <c:numRef>
              <c:f>גיליון1!$E$33:$E$41</c:f>
              <c:numCache>
                <c:formatCode>General</c:formatCode>
                <c:ptCount val="9"/>
                <c:pt idx="0">
                  <c:v>2020</c:v>
                </c:pt>
                <c:pt idx="1">
                  <c:v>2021</c:v>
                </c:pt>
                <c:pt idx="2">
                  <c:v>2022</c:v>
                </c:pt>
                <c:pt idx="3">
                  <c:v>2023</c:v>
                </c:pt>
                <c:pt idx="4">
                  <c:v>2024</c:v>
                </c:pt>
                <c:pt idx="5">
                  <c:v>2025</c:v>
                </c:pt>
                <c:pt idx="6">
                  <c:v>2026</c:v>
                </c:pt>
                <c:pt idx="7">
                  <c:v>2027</c:v>
                </c:pt>
                <c:pt idx="8">
                  <c:v>2028</c:v>
                </c:pt>
              </c:numCache>
            </c:numRef>
          </c:cat>
          <c:val>
            <c:numRef>
              <c:f>גיליון1!$I$33:$I$41</c:f>
              <c:numCache>
                <c:formatCode>General</c:formatCode>
                <c:ptCount val="9"/>
                <c:pt idx="4" formatCode="_ * #,##0_ ;_ * \-#,##0_ ;_ * &quot;-&quot;??_ ;_ @_ ">
                  <c:v>7383222</c:v>
                </c:pt>
                <c:pt idx="5" formatCode="_ * #,##0_ ;_ * \-#,##0_ ;_ * &quot;-&quot;??_ ;_ @_ ">
                  <c:v>7883225.6606534952</c:v>
                </c:pt>
                <c:pt idx="6" formatCode="_ * #,##0_ ;_ * \-#,##0_ ;_ * &quot;-&quot;??_ ;_ @_ ">
                  <c:v>8397709.7631289996</c:v>
                </c:pt>
                <c:pt idx="7" formatCode="_ * #,##0_ ;_ * \-#,##0_ ;_ * &quot;-&quot;??_ ;_ @_ ">
                  <c:v>8460715.3023478184</c:v>
                </c:pt>
                <c:pt idx="8" formatCode="_ * #,##0_ ;_ * \-#,##0_ ;_ * &quot;-&quot;??_ ;_ @_ ">
                  <c:v>8975201.2551297843</c:v>
                </c:pt>
              </c:numCache>
            </c:numRef>
          </c:val>
          <c:smooth val="0"/>
          <c:extLst>
            <c:ext xmlns:c16="http://schemas.microsoft.com/office/drawing/2014/chart" uri="{C3380CC4-5D6E-409C-BE32-E72D297353CC}">
              <c16:uniqueId val="{00000003-9C5E-43F2-AE0D-1AD91C1F9D7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51511896"/>
        <c:axId val="451504352"/>
      </c:lineChart>
      <c:catAx>
        <c:axId val="45151189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he-IL"/>
                  <a:t>שנים</a:t>
                </a:r>
              </a:p>
            </c:rich>
          </c:tx>
          <c:layout>
            <c:manualLayout>
              <c:xMode val="edge"/>
              <c:yMode val="edge"/>
              <c:x val="0.49437011537409364"/>
              <c:y val="0.7923081192799840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he-IL"/>
            </a:p>
          </c:txPr>
        </c:title>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he-IL"/>
          </a:p>
        </c:txPr>
        <c:crossAx val="451504352"/>
        <c:crosses val="autoZero"/>
        <c:auto val="1"/>
        <c:lblAlgn val="ctr"/>
        <c:lblOffset val="100"/>
        <c:noMultiLvlLbl val="0"/>
      </c:catAx>
      <c:valAx>
        <c:axId val="451504352"/>
        <c:scaling>
          <c:orientation val="minMax"/>
          <c:min val="0"/>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he-IL"/>
                  <a:t>הכנסות</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he-IL"/>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he-IL"/>
          </a:p>
        </c:txPr>
        <c:crossAx val="451511896"/>
        <c:crosses val="autoZero"/>
        <c:crossBetween val="between"/>
        <c:majorUnit val="3000000"/>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17719414447809687"/>
          <c:y val="0.85780346245523476"/>
          <c:w val="0.69585962628567266"/>
          <c:h val="0.116917330024698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he-IL"/>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spc="20" baseline="0">
                <a:solidFill>
                  <a:schemeClr val="dk1">
                    <a:lumMod val="50000"/>
                    <a:lumOff val="50000"/>
                  </a:schemeClr>
                </a:solidFill>
                <a:latin typeface="+mn-lt"/>
                <a:ea typeface="+mn-ea"/>
                <a:cs typeface="+mn-cs"/>
              </a:defRPr>
            </a:pPr>
            <a:r>
              <a:rPr lang="he-IL" sz="1800" b="1"/>
              <a:t>תחזית</a:t>
            </a:r>
            <a:r>
              <a:rPr lang="he-IL" sz="1800" b="1" baseline="0"/>
              <a:t> </a:t>
            </a:r>
            <a:r>
              <a:rPr lang="en-US" sz="1800" b="1" baseline="0"/>
              <a:t>ROE</a:t>
            </a:r>
          </a:p>
        </c:rich>
      </c:tx>
      <c:layout>
        <c:manualLayout>
          <c:xMode val="edge"/>
          <c:yMode val="edge"/>
          <c:x val="0.40530251851271665"/>
          <c:y val="4.6345229161731914E-2"/>
        </c:manualLayout>
      </c:layout>
      <c:overlay val="0"/>
      <c:spPr>
        <a:noFill/>
        <a:ln>
          <a:noFill/>
        </a:ln>
        <a:effectLst/>
      </c:spPr>
      <c:txPr>
        <a:bodyPr rot="0" spcFirstLastPara="1" vertOverflow="ellipsis" vert="horz" wrap="square" anchor="ctr" anchorCtr="1"/>
        <a:lstStyle/>
        <a:p>
          <a:pPr>
            <a:defRPr sz="1800" b="1" i="0" u="none" strike="noStrike" kern="1200" cap="none" spc="20" baseline="0">
              <a:solidFill>
                <a:schemeClr val="dk1">
                  <a:lumMod val="50000"/>
                  <a:lumOff val="50000"/>
                </a:schemeClr>
              </a:solidFill>
              <a:latin typeface="+mn-lt"/>
              <a:ea typeface="+mn-ea"/>
              <a:cs typeface="+mn-cs"/>
            </a:defRPr>
          </a:pPr>
          <a:endParaRPr lang="he-IL"/>
        </a:p>
      </c:txPr>
    </c:title>
    <c:autoTitleDeleted val="0"/>
    <c:plotArea>
      <c:layout/>
      <c:lineChart>
        <c:grouping val="standard"/>
        <c:varyColors val="0"/>
        <c:ser>
          <c:idx val="0"/>
          <c:order val="0"/>
          <c:tx>
            <c:strRef>
              <c:f>גיליון1!$E$92</c:f>
              <c:strCache>
                <c:ptCount val="1"/>
                <c:pt idx="0">
                  <c:v>ערכים</c:v>
                </c:pt>
              </c:strCache>
            </c:strRef>
          </c:tx>
          <c:spPr>
            <a:ln w="38100" cap="rnd" cmpd="sng" algn="ctr">
              <a:solidFill>
                <a:schemeClr val="accent1"/>
              </a:solidFill>
              <a:round/>
            </a:ln>
            <a:effectLst/>
          </c:spPr>
          <c:marker>
            <c:symbol val="none"/>
          </c:marker>
          <c:val>
            <c:numRef>
              <c:f>גיליון1!$E$93:$E$101</c:f>
              <c:numCache>
                <c:formatCode>0.000</c:formatCode>
                <c:ptCount val="9"/>
                <c:pt idx="0">
                  <c:v>0.2945800107618628</c:v>
                </c:pt>
                <c:pt idx="1">
                  <c:v>0.3333312323716181</c:v>
                </c:pt>
                <c:pt idx="2">
                  <c:v>0.30743644571157047</c:v>
                </c:pt>
                <c:pt idx="3">
                  <c:v>0.3264195126917766</c:v>
                </c:pt>
                <c:pt idx="4">
                  <c:v>0.42384371123709536</c:v>
                </c:pt>
              </c:numCache>
            </c:numRef>
          </c:val>
          <c:smooth val="0"/>
          <c:extLst>
            <c:ext xmlns:c16="http://schemas.microsoft.com/office/drawing/2014/chart" uri="{C3380CC4-5D6E-409C-BE32-E72D297353CC}">
              <c16:uniqueId val="{00000000-2113-4C9D-A41E-72D47B8E42AC}"/>
            </c:ext>
          </c:extLst>
        </c:ser>
        <c:ser>
          <c:idx val="1"/>
          <c:order val="1"/>
          <c:tx>
            <c:strRef>
              <c:f>גיליון1!$F$92</c:f>
              <c:strCache>
                <c:ptCount val="1"/>
                <c:pt idx="0">
                  <c:v>תחזית</c:v>
                </c:pt>
              </c:strCache>
            </c:strRef>
          </c:tx>
          <c:spPr>
            <a:ln w="38100" cap="rnd" cmpd="sng" algn="ctr">
              <a:solidFill>
                <a:srgbClr val="92D050"/>
              </a:solidFill>
              <a:round/>
            </a:ln>
            <a:effectLst/>
          </c:spPr>
          <c:marker>
            <c:symbol val="none"/>
          </c:marker>
          <c:cat>
            <c:numRef>
              <c:f>גיליון1!$D$93:$D$101</c:f>
              <c:numCache>
                <c:formatCode>General</c:formatCode>
                <c:ptCount val="9"/>
                <c:pt idx="0">
                  <c:v>2020</c:v>
                </c:pt>
                <c:pt idx="1">
                  <c:v>2021</c:v>
                </c:pt>
                <c:pt idx="2">
                  <c:v>2022</c:v>
                </c:pt>
                <c:pt idx="3">
                  <c:v>2023</c:v>
                </c:pt>
                <c:pt idx="4">
                  <c:v>2024</c:v>
                </c:pt>
                <c:pt idx="5">
                  <c:v>2025</c:v>
                </c:pt>
                <c:pt idx="6">
                  <c:v>2026</c:v>
                </c:pt>
                <c:pt idx="7">
                  <c:v>2027</c:v>
                </c:pt>
                <c:pt idx="8">
                  <c:v>2028</c:v>
                </c:pt>
              </c:numCache>
            </c:numRef>
          </c:cat>
          <c:val>
            <c:numRef>
              <c:f>גיליון1!$F$93:$F$101</c:f>
              <c:numCache>
                <c:formatCode>General</c:formatCode>
                <c:ptCount val="9"/>
                <c:pt idx="4" formatCode="0.000">
                  <c:v>0.42384371123709536</c:v>
                </c:pt>
                <c:pt idx="5" formatCode="0.000">
                  <c:v>0.43190061129084384</c:v>
                </c:pt>
                <c:pt idx="6" formatCode="0.000">
                  <c:v>0.45936013331726278</c:v>
                </c:pt>
                <c:pt idx="7" formatCode="0.000">
                  <c:v>0.48681965534368166</c:v>
                </c:pt>
                <c:pt idx="8" formatCode="0.000">
                  <c:v>0.51427917737010054</c:v>
                </c:pt>
              </c:numCache>
            </c:numRef>
          </c:val>
          <c:smooth val="0"/>
          <c:extLst>
            <c:ext xmlns:c16="http://schemas.microsoft.com/office/drawing/2014/chart" uri="{C3380CC4-5D6E-409C-BE32-E72D297353CC}">
              <c16:uniqueId val="{00000001-2113-4C9D-A41E-72D47B8E42AC}"/>
            </c:ext>
          </c:extLst>
        </c:ser>
        <c:ser>
          <c:idx val="2"/>
          <c:order val="2"/>
          <c:tx>
            <c:strRef>
              <c:f>גיליון1!$G$92</c:f>
              <c:strCache>
                <c:ptCount val="1"/>
                <c:pt idx="0">
                  <c:v>גבול תחתון 
של ביטחון</c:v>
                </c:pt>
              </c:strCache>
            </c:strRef>
          </c:tx>
          <c:spPr>
            <a:ln w="9525" cap="rnd" cmpd="sng" algn="ctr">
              <a:solidFill>
                <a:schemeClr val="tx2">
                  <a:lumMod val="40000"/>
                  <a:lumOff val="60000"/>
                </a:schemeClr>
              </a:solidFill>
              <a:round/>
            </a:ln>
            <a:effectLst/>
          </c:spPr>
          <c:marker>
            <c:symbol val="none"/>
          </c:marker>
          <c:cat>
            <c:numRef>
              <c:f>גיליון1!$D$93:$D$101</c:f>
              <c:numCache>
                <c:formatCode>General</c:formatCode>
                <c:ptCount val="9"/>
                <c:pt idx="0">
                  <c:v>2020</c:v>
                </c:pt>
                <c:pt idx="1">
                  <c:v>2021</c:v>
                </c:pt>
                <c:pt idx="2">
                  <c:v>2022</c:v>
                </c:pt>
                <c:pt idx="3">
                  <c:v>2023</c:v>
                </c:pt>
                <c:pt idx="4">
                  <c:v>2024</c:v>
                </c:pt>
                <c:pt idx="5">
                  <c:v>2025</c:v>
                </c:pt>
                <c:pt idx="6">
                  <c:v>2026</c:v>
                </c:pt>
                <c:pt idx="7">
                  <c:v>2027</c:v>
                </c:pt>
                <c:pt idx="8">
                  <c:v>2028</c:v>
                </c:pt>
              </c:numCache>
            </c:numRef>
          </c:cat>
          <c:val>
            <c:numRef>
              <c:f>גיליון1!$G$93:$G$101</c:f>
              <c:numCache>
                <c:formatCode>General</c:formatCode>
                <c:ptCount val="9"/>
                <c:pt idx="4" formatCode="0.000">
                  <c:v>0.42384371123709536</c:v>
                </c:pt>
                <c:pt idx="5" formatCode="0.000">
                  <c:v>0.3708486622825804</c:v>
                </c:pt>
                <c:pt idx="6" formatCode="0.000">
                  <c:v>0.39830790957584694</c:v>
                </c:pt>
                <c:pt idx="7" formatCode="0.000">
                  <c:v>0.42576694319082525</c:v>
                </c:pt>
                <c:pt idx="8" formatCode="0.000">
                  <c:v>0.45322570208219015</c:v>
                </c:pt>
              </c:numCache>
            </c:numRef>
          </c:val>
          <c:smooth val="0"/>
          <c:extLst>
            <c:ext xmlns:c16="http://schemas.microsoft.com/office/drawing/2014/chart" uri="{C3380CC4-5D6E-409C-BE32-E72D297353CC}">
              <c16:uniqueId val="{00000002-2113-4C9D-A41E-72D47B8E42AC}"/>
            </c:ext>
          </c:extLst>
        </c:ser>
        <c:ser>
          <c:idx val="3"/>
          <c:order val="3"/>
          <c:tx>
            <c:strRef>
              <c:f>גיליון1!$H$92</c:f>
              <c:strCache>
                <c:ptCount val="1"/>
                <c:pt idx="0">
                  <c:v>גבול עליון 
של ביטחון</c:v>
                </c:pt>
              </c:strCache>
            </c:strRef>
          </c:tx>
          <c:spPr>
            <a:ln w="9525" cap="rnd" cmpd="sng" algn="ctr">
              <a:solidFill>
                <a:schemeClr val="tx2">
                  <a:lumMod val="40000"/>
                  <a:lumOff val="60000"/>
                </a:schemeClr>
              </a:solidFill>
              <a:round/>
            </a:ln>
            <a:effectLst/>
          </c:spPr>
          <c:marker>
            <c:symbol val="none"/>
          </c:marker>
          <c:cat>
            <c:numRef>
              <c:f>גיליון1!$D$93:$D$101</c:f>
              <c:numCache>
                <c:formatCode>General</c:formatCode>
                <c:ptCount val="9"/>
                <c:pt idx="0">
                  <c:v>2020</c:v>
                </c:pt>
                <c:pt idx="1">
                  <c:v>2021</c:v>
                </c:pt>
                <c:pt idx="2">
                  <c:v>2022</c:v>
                </c:pt>
                <c:pt idx="3">
                  <c:v>2023</c:v>
                </c:pt>
                <c:pt idx="4">
                  <c:v>2024</c:v>
                </c:pt>
                <c:pt idx="5">
                  <c:v>2025</c:v>
                </c:pt>
                <c:pt idx="6">
                  <c:v>2026</c:v>
                </c:pt>
                <c:pt idx="7">
                  <c:v>2027</c:v>
                </c:pt>
                <c:pt idx="8">
                  <c:v>2028</c:v>
                </c:pt>
              </c:numCache>
            </c:numRef>
          </c:cat>
          <c:val>
            <c:numRef>
              <c:f>גיליון1!$H$93:$H$101</c:f>
              <c:numCache>
                <c:formatCode>General</c:formatCode>
                <c:ptCount val="9"/>
                <c:pt idx="4" formatCode="0.000">
                  <c:v>0.42384371123709536</c:v>
                </c:pt>
                <c:pt idx="5" formatCode="0.000">
                  <c:v>0.49295256029910728</c:v>
                </c:pt>
                <c:pt idx="6" formatCode="0.000">
                  <c:v>0.52041235705867861</c:v>
                </c:pt>
                <c:pt idx="7" formatCode="0.000">
                  <c:v>0.547872367496538</c:v>
                </c:pt>
                <c:pt idx="8" formatCode="0.000">
                  <c:v>0.57533265265801092</c:v>
                </c:pt>
              </c:numCache>
            </c:numRef>
          </c:val>
          <c:smooth val="0"/>
          <c:extLst>
            <c:ext xmlns:c16="http://schemas.microsoft.com/office/drawing/2014/chart" uri="{C3380CC4-5D6E-409C-BE32-E72D297353CC}">
              <c16:uniqueId val="{00000003-2113-4C9D-A41E-72D47B8E42A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352113328"/>
        <c:axId val="352103160"/>
      </c:lineChart>
      <c:catAx>
        <c:axId val="35211332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he-IL"/>
                  <a:t>שנים</a:t>
                </a:r>
              </a:p>
            </c:rich>
          </c:tx>
          <c:layout>
            <c:manualLayout>
              <c:xMode val="edge"/>
              <c:yMode val="edge"/>
              <c:x val="0.48757469386022617"/>
              <c:y val="0.7565495806763694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he-IL"/>
            </a:p>
          </c:txPr>
        </c:title>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he-IL"/>
          </a:p>
        </c:txPr>
        <c:crossAx val="352103160"/>
        <c:crosses val="autoZero"/>
        <c:auto val="1"/>
        <c:lblAlgn val="ctr"/>
        <c:lblOffset val="100"/>
        <c:noMultiLvlLbl val="0"/>
      </c:catAx>
      <c:valAx>
        <c:axId val="35210316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ROE</a:t>
                </a:r>
                <a:endParaRPr lang="he-IL"/>
              </a:p>
            </c:rich>
          </c:tx>
          <c:layout>
            <c:manualLayout>
              <c:xMode val="edge"/>
              <c:yMode val="edge"/>
              <c:x val="1.9408672263428153E-2"/>
              <c:y val="0.3668066714968778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he-IL"/>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he-IL"/>
          </a:p>
        </c:txPr>
        <c:crossAx val="352113328"/>
        <c:crosses val="autoZero"/>
        <c:crossBetween val="between"/>
        <c:majorUnit val="0.30000000000000004"/>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7.7119307297118259E-2"/>
          <c:y val="0.83862073795127989"/>
          <c:w val="0.88671630951324198"/>
          <c:h val="0.13268981626330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he-IL"/>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355103</xdr:colOff>
      <xdr:row>29</xdr:row>
      <xdr:rowOff>1</xdr:rowOff>
    </xdr:from>
    <xdr:to>
      <xdr:col>14</xdr:col>
      <xdr:colOff>385808</xdr:colOff>
      <xdr:row>44</xdr:row>
      <xdr:rowOff>7217</xdr:rowOff>
    </xdr:to>
    <xdr:graphicFrame macro="">
      <xdr:nvGraphicFramePr>
        <xdr:cNvPr id="6" name="תרשים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1901</xdr:colOff>
      <xdr:row>89</xdr:row>
      <xdr:rowOff>9622</xdr:rowOff>
    </xdr:from>
    <xdr:to>
      <xdr:col>11</xdr:col>
      <xdr:colOff>1723571</xdr:colOff>
      <xdr:row>102</xdr:row>
      <xdr:rowOff>163561</xdr:rowOff>
    </xdr:to>
    <xdr:graphicFrame macro="">
      <xdr:nvGraphicFramePr>
        <xdr:cNvPr id="12" name="תרשים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טבלה1" displayName="טבלה1" ref="E32:I41" totalsRowShown="0">
  <autoFilter ref="E32:I41"/>
  <tableColumns count="5">
    <tableColumn id="1" name="ציר זמן" dataDxfId="7"/>
    <tableColumn id="2" name="ערכים"/>
    <tableColumn id="3" name="תחזית" dataDxfId="6">
      <calculatedColumnFormula>_xlfn.FORECAST.ETS(E33,$F$33:$F$37,$E$33:$E$37,1,1)</calculatedColumnFormula>
    </tableColumn>
    <tableColumn id="4" name="גבול תחתון _x000a_של ביטחון" dataDxfId="5">
      <calculatedColumnFormula>G33-_xlfn.FORECAST.ETS.CONFINT(E33,$F$33:$F$37,$E$33:$E$37,0.95,1,1)</calculatedColumnFormula>
    </tableColumn>
    <tableColumn id="5" name="גבול עליון _x000a_של ביטחון" dataDxfId="4">
      <calculatedColumnFormula>G33+_xlfn.FORECAST.ETS.CONFINT(E33,$F$33:$F$37,$E$33:$E$37,0.95,1,1)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3" name="טבלה3" displayName="טבלה3" ref="D92:H101" totalsRowShown="0">
  <autoFilter ref="D92:H101"/>
  <tableColumns count="5">
    <tableColumn id="1" name="ציר זמן" dataDxfId="3"/>
    <tableColumn id="2" name="ערכים"/>
    <tableColumn id="3" name="תחזית" dataDxfId="2">
      <calculatedColumnFormula>_xlfn.FORECAST.ETS(D93,$E$93:$E$97,$D$93:$D$97,1,1)</calculatedColumnFormula>
    </tableColumn>
    <tableColumn id="4" name="גבול תחתון _x000a_של ביטחון" dataDxfId="1">
      <calculatedColumnFormula>F93-_xlfn.FORECAST.ETS.CONFINT(D93,$E$93:$E$97,$D$93:$D$97,0.95,1,1)</calculatedColumnFormula>
    </tableColumn>
    <tableColumn id="5" name="גבול עליון _x000a_של ביטחון" dataDxfId="0">
      <calculatedColumnFormula>F93+_xlfn.FORECAST.ETS.CONFINT(D93,$E$93:$E$97,$D$93:$D$97,0.95,1,1)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AD120"/>
  <sheetViews>
    <sheetView rightToLeft="1" tabSelected="1" zoomScale="38" zoomScaleNormal="71" workbookViewId="0">
      <selection activeCell="F118" sqref="F118"/>
    </sheetView>
  </sheetViews>
  <sheetFormatPr defaultRowHeight="14" x14ac:dyDescent="0.3"/>
  <cols>
    <col min="1" max="3" width="8.6640625" style="2"/>
    <col min="4" max="4" width="15.9140625" style="2" customWidth="1"/>
    <col min="5" max="6" width="12.4140625" style="2" customWidth="1"/>
    <col min="7" max="7" width="13.33203125" style="2" customWidth="1"/>
    <col min="8" max="8" width="15.08203125" style="2" customWidth="1"/>
    <col min="9" max="9" width="15.9140625" style="2" customWidth="1"/>
    <col min="10" max="10" width="26.58203125" style="2" customWidth="1"/>
    <col min="11" max="11" width="28.08203125" style="2" customWidth="1"/>
    <col min="12" max="12" width="22.83203125" style="2" customWidth="1"/>
    <col min="13" max="13" width="12.33203125" style="2" customWidth="1"/>
    <col min="14" max="14" width="19.25" style="2" customWidth="1"/>
    <col min="15" max="15" width="12.33203125" style="2" customWidth="1"/>
    <col min="16" max="16" width="14.6640625" style="2" bestFit="1" customWidth="1"/>
    <col min="17" max="20" width="8.6640625" style="2"/>
    <col min="21" max="21" width="11.5" style="2" customWidth="1"/>
    <col min="22" max="27" width="8.6640625" style="2"/>
    <col min="28" max="28" width="14.5" style="2" customWidth="1"/>
    <col min="29" max="34" width="8.6640625" style="2"/>
    <col min="35" max="35" width="12.9140625" style="2" customWidth="1"/>
    <col min="36" max="36" width="14.83203125" style="2" customWidth="1"/>
    <col min="37" max="16384" width="8.6640625" style="2"/>
  </cols>
  <sheetData>
    <row r="2" spans="4:16" ht="14.5" thickBot="1" x14ac:dyDescent="0.35"/>
    <row r="3" spans="4:16" ht="14" customHeight="1" x14ac:dyDescent="0.3">
      <c r="D3" s="76" t="s">
        <v>40</v>
      </c>
      <c r="E3" s="77"/>
      <c r="F3" s="77"/>
      <c r="G3" s="77"/>
      <c r="H3" s="77"/>
      <c r="I3" s="77"/>
      <c r="J3" s="77"/>
      <c r="K3" s="77"/>
      <c r="L3" s="77"/>
      <c r="M3" s="77"/>
      <c r="N3" s="77"/>
      <c r="O3" s="77"/>
      <c r="P3" s="78"/>
    </row>
    <row r="4" spans="4:16" ht="14" customHeight="1" x14ac:dyDescent="0.3">
      <c r="D4" s="79"/>
      <c r="E4" s="80"/>
      <c r="F4" s="80"/>
      <c r="G4" s="80"/>
      <c r="H4" s="80"/>
      <c r="I4" s="80"/>
      <c r="J4" s="80"/>
      <c r="K4" s="80"/>
      <c r="L4" s="80"/>
      <c r="M4" s="80"/>
      <c r="N4" s="80"/>
      <c r="O4" s="80"/>
      <c r="P4" s="81"/>
    </row>
    <row r="5" spans="4:16" ht="14" customHeight="1" x14ac:dyDescent="0.3">
      <c r="D5" s="79"/>
      <c r="E5" s="80"/>
      <c r="F5" s="80"/>
      <c r="G5" s="80"/>
      <c r="H5" s="80"/>
      <c r="I5" s="80"/>
      <c r="J5" s="80"/>
      <c r="K5" s="80"/>
      <c r="L5" s="80"/>
      <c r="M5" s="80"/>
      <c r="N5" s="80"/>
      <c r="O5" s="80"/>
      <c r="P5" s="81"/>
    </row>
    <row r="6" spans="4:16" ht="14" customHeight="1" x14ac:dyDescent="0.3">
      <c r="D6" s="79"/>
      <c r="E6" s="80"/>
      <c r="F6" s="80"/>
      <c r="G6" s="80"/>
      <c r="H6" s="80"/>
      <c r="I6" s="80"/>
      <c r="J6" s="80"/>
      <c r="K6" s="80"/>
      <c r="L6" s="80"/>
      <c r="M6" s="80"/>
      <c r="N6" s="80"/>
      <c r="O6" s="80"/>
      <c r="P6" s="81"/>
    </row>
    <row r="7" spans="4:16" ht="14.5" customHeight="1" x14ac:dyDescent="0.3">
      <c r="D7" s="79"/>
      <c r="E7" s="80"/>
      <c r="F7" s="80"/>
      <c r="G7" s="80"/>
      <c r="H7" s="80"/>
      <c r="I7" s="80"/>
      <c r="J7" s="80"/>
      <c r="K7" s="80"/>
      <c r="L7" s="80"/>
      <c r="M7" s="80"/>
      <c r="N7" s="80"/>
      <c r="O7" s="80"/>
      <c r="P7" s="81"/>
    </row>
    <row r="8" spans="4:16" ht="14" customHeight="1" x14ac:dyDescent="0.3">
      <c r="D8" s="79"/>
      <c r="E8" s="80"/>
      <c r="F8" s="80"/>
      <c r="G8" s="80"/>
      <c r="H8" s="80"/>
      <c r="I8" s="80"/>
      <c r="J8" s="80"/>
      <c r="K8" s="80"/>
      <c r="L8" s="80"/>
      <c r="M8" s="80"/>
      <c r="N8" s="80"/>
      <c r="O8" s="80"/>
      <c r="P8" s="81"/>
    </row>
    <row r="9" spans="4:16" ht="14.5" customHeight="1" thickBot="1" x14ac:dyDescent="0.35">
      <c r="D9" s="82"/>
      <c r="E9" s="83"/>
      <c r="F9" s="83"/>
      <c r="G9" s="83"/>
      <c r="H9" s="83"/>
      <c r="I9" s="83"/>
      <c r="J9" s="83"/>
      <c r="K9" s="83"/>
      <c r="L9" s="83"/>
      <c r="M9" s="83"/>
      <c r="N9" s="83"/>
      <c r="O9" s="83"/>
      <c r="P9" s="84"/>
    </row>
    <row r="11" spans="4:16" ht="14.5" thickBot="1" x14ac:dyDescent="0.35">
      <c r="D11" s="3"/>
      <c r="E11" s="75"/>
      <c r="F11" s="75"/>
      <c r="G11" s="75"/>
      <c r="H11" s="75"/>
      <c r="I11" s="75"/>
      <c r="J11" s="75"/>
      <c r="K11" s="75"/>
      <c r="L11" s="75"/>
      <c r="M11" s="75"/>
      <c r="N11" s="75"/>
      <c r="O11" s="75"/>
      <c r="P11" s="75"/>
    </row>
    <row r="12" spans="4:16" ht="14.5" thickBot="1" x14ac:dyDescent="0.35">
      <c r="D12" s="3"/>
      <c r="E12" s="86" t="s">
        <v>10</v>
      </c>
      <c r="F12" s="87"/>
      <c r="G12" s="88"/>
      <c r="H12" s="89" t="s">
        <v>11</v>
      </c>
      <c r="I12" s="89"/>
      <c r="J12" s="89"/>
      <c r="K12" s="89"/>
      <c r="L12" s="89"/>
      <c r="M12" s="89"/>
      <c r="N12" s="90" t="s">
        <v>12</v>
      </c>
      <c r="O12" s="91"/>
      <c r="P12" s="92"/>
    </row>
    <row r="13" spans="4:16" x14ac:dyDescent="0.3">
      <c r="D13" s="27" t="s">
        <v>0</v>
      </c>
      <c r="E13" s="4" t="s">
        <v>1</v>
      </c>
      <c r="F13" s="5" t="s">
        <v>2</v>
      </c>
      <c r="G13" s="6" t="s">
        <v>3</v>
      </c>
      <c r="H13" s="30" t="s">
        <v>4</v>
      </c>
      <c r="I13" s="5" t="s">
        <v>16</v>
      </c>
      <c r="J13" s="5" t="s">
        <v>5</v>
      </c>
      <c r="K13" s="5" t="s">
        <v>25</v>
      </c>
      <c r="L13" s="5" t="s">
        <v>26</v>
      </c>
      <c r="M13" s="35" t="s">
        <v>6</v>
      </c>
      <c r="N13" s="4" t="s">
        <v>7</v>
      </c>
      <c r="O13" s="5" t="s">
        <v>8</v>
      </c>
      <c r="P13" s="6" t="s">
        <v>9</v>
      </c>
    </row>
    <row r="14" spans="4:16" x14ac:dyDescent="0.3">
      <c r="D14" s="28">
        <v>2020</v>
      </c>
      <c r="E14" s="33">
        <v>6465660</v>
      </c>
      <c r="F14" s="7">
        <v>281844</v>
      </c>
      <c r="G14" s="8">
        <v>175732</v>
      </c>
      <c r="H14" s="31">
        <v>1488327</v>
      </c>
      <c r="I14" s="7">
        <v>321647</v>
      </c>
      <c r="J14" s="7">
        <v>1479473</v>
      </c>
      <c r="K14" s="7">
        <v>3694313</v>
      </c>
      <c r="L14" s="7">
        <v>3097762</v>
      </c>
      <c r="M14" s="36">
        <f>K14-L14</f>
        <v>596551</v>
      </c>
      <c r="N14" s="33">
        <v>575605</v>
      </c>
      <c r="O14" s="7">
        <v>-102532</v>
      </c>
      <c r="P14" s="8">
        <v>-278603</v>
      </c>
    </row>
    <row r="15" spans="4:16" x14ac:dyDescent="0.3">
      <c r="D15" s="28">
        <v>2021</v>
      </c>
      <c r="E15" s="33">
        <v>6452896</v>
      </c>
      <c r="F15" s="7">
        <v>321250</v>
      </c>
      <c r="G15" s="8">
        <v>211542</v>
      </c>
      <c r="H15" s="31">
        <v>1519780</v>
      </c>
      <c r="I15" s="7">
        <v>300705</v>
      </c>
      <c r="J15" s="7">
        <v>1505339</v>
      </c>
      <c r="K15" s="7">
        <v>3826893</v>
      </c>
      <c r="L15" s="7">
        <v>3192263</v>
      </c>
      <c r="M15" s="36">
        <f t="shared" ref="M15:M17" si="0">K15-L15</f>
        <v>634630</v>
      </c>
      <c r="N15" s="33">
        <v>486232</v>
      </c>
      <c r="O15" s="7">
        <v>-178757</v>
      </c>
      <c r="P15" s="8">
        <v>-320131</v>
      </c>
    </row>
    <row r="16" spans="4:16" x14ac:dyDescent="0.3">
      <c r="D16" s="28">
        <v>2022</v>
      </c>
      <c r="E16" s="33">
        <v>7042166</v>
      </c>
      <c r="F16" s="7">
        <v>320257</v>
      </c>
      <c r="G16" s="8">
        <v>191512</v>
      </c>
      <c r="H16" s="31">
        <v>1548727</v>
      </c>
      <c r="I16" s="7">
        <v>285334</v>
      </c>
      <c r="J16" s="7">
        <v>1608818</v>
      </c>
      <c r="K16" s="7">
        <v>4076712</v>
      </c>
      <c r="L16" s="7">
        <v>3453780</v>
      </c>
      <c r="M16" s="36">
        <f t="shared" si="0"/>
        <v>622932</v>
      </c>
      <c r="N16" s="33">
        <v>505588</v>
      </c>
      <c r="O16" s="7">
        <v>-178222</v>
      </c>
      <c r="P16" s="8">
        <v>-370811</v>
      </c>
    </row>
    <row r="17" spans="4:16" x14ac:dyDescent="0.3">
      <c r="D17" s="28">
        <v>2023</v>
      </c>
      <c r="E17" s="33">
        <v>7181901</v>
      </c>
      <c r="F17" s="7">
        <v>306628</v>
      </c>
      <c r="G17" s="8">
        <v>205186</v>
      </c>
      <c r="H17" s="31">
        <v>1619811</v>
      </c>
      <c r="I17" s="7">
        <v>318782</v>
      </c>
      <c r="J17" s="7">
        <v>1694190</v>
      </c>
      <c r="K17" s="7">
        <v>4196657</v>
      </c>
      <c r="L17" s="7">
        <v>3568061</v>
      </c>
      <c r="M17" s="36">
        <f t="shared" si="0"/>
        <v>628596</v>
      </c>
      <c r="N17" s="33">
        <v>539701</v>
      </c>
      <c r="O17" s="7">
        <v>-144151</v>
      </c>
      <c r="P17" s="8">
        <v>-381593</v>
      </c>
    </row>
    <row r="18" spans="4:16" ht="14.5" thickBot="1" x14ac:dyDescent="0.35">
      <c r="D18" s="29">
        <v>2024</v>
      </c>
      <c r="E18" s="34">
        <v>7383222</v>
      </c>
      <c r="F18" s="9">
        <v>365611</v>
      </c>
      <c r="G18" s="10">
        <v>259347</v>
      </c>
      <c r="H18" s="32">
        <v>1674878</v>
      </c>
      <c r="I18" s="26">
        <v>323074</v>
      </c>
      <c r="J18" s="26">
        <v>1814860</v>
      </c>
      <c r="K18" s="26">
        <v>4287662</v>
      </c>
      <c r="L18" s="26">
        <v>3675769</v>
      </c>
      <c r="M18" s="37">
        <f>K18-L18</f>
        <v>611893</v>
      </c>
      <c r="N18" s="34">
        <v>606146</v>
      </c>
      <c r="O18" s="9">
        <v>-66747</v>
      </c>
      <c r="P18" s="10">
        <v>-450145</v>
      </c>
    </row>
    <row r="19" spans="4:16" ht="14.5" thickBot="1" x14ac:dyDescent="0.35">
      <c r="D19" s="93" t="s">
        <v>31</v>
      </c>
      <c r="E19" s="94"/>
      <c r="F19" s="94"/>
      <c r="G19" s="94"/>
      <c r="H19" s="95"/>
      <c r="I19" s="95"/>
      <c r="J19" s="95"/>
      <c r="K19" s="95"/>
      <c r="L19" s="95"/>
      <c r="M19" s="95"/>
      <c r="N19" s="95"/>
      <c r="O19" s="95"/>
      <c r="P19" s="96"/>
    </row>
    <row r="20" spans="4:16" ht="14.5" thickBot="1" x14ac:dyDescent="0.35">
      <c r="D20" s="25">
        <v>2025</v>
      </c>
      <c r="E20" s="38">
        <f>_xlfn.FORECAST.ETS($D$20, E14:E18, $D$14:$D$18)</f>
        <v>7648925.2191258278</v>
      </c>
      <c r="F20" s="39">
        <f t="shared" ref="F20:P20" si="1">_xlfn.FORECAST.ETS($D$20, F14:F18, $D$14:$D$18)</f>
        <v>343763.41697903787</v>
      </c>
      <c r="G20" s="24">
        <f t="shared" si="1"/>
        <v>262504.68580626009</v>
      </c>
      <c r="H20" s="38">
        <f t="shared" si="1"/>
        <v>1717783.4889696513</v>
      </c>
      <c r="I20" s="39">
        <f t="shared" si="1"/>
        <v>322104.88434809452</v>
      </c>
      <c r="J20" s="39">
        <f t="shared" si="1"/>
        <v>1890204.0222376704</v>
      </c>
      <c r="K20" s="39">
        <f t="shared" si="1"/>
        <v>4455038.7127979733</v>
      </c>
      <c r="L20" s="39">
        <f t="shared" si="1"/>
        <v>3844116.9395241556</v>
      </c>
      <c r="M20" s="24">
        <f t="shared" si="1"/>
        <v>620047.30988716008</v>
      </c>
      <c r="N20" s="38">
        <f t="shared" si="1"/>
        <v>594898.89148955396</v>
      </c>
      <c r="O20" s="39">
        <f t="shared" si="1"/>
        <v>-82678.267309142655</v>
      </c>
      <c r="P20" s="24">
        <f t="shared" si="1"/>
        <v>-465777.91980366543</v>
      </c>
    </row>
    <row r="21" spans="4:16" ht="14.5" thickBot="1" x14ac:dyDescent="0.35">
      <c r="F21" s="16"/>
      <c r="G21" s="16"/>
      <c r="H21" s="16"/>
      <c r="I21" s="16"/>
      <c r="J21" s="16"/>
      <c r="K21" s="16"/>
      <c r="L21" s="16"/>
      <c r="M21" s="16"/>
      <c r="N21" s="16"/>
      <c r="O21" s="16"/>
      <c r="P21" s="16"/>
    </row>
    <row r="22" spans="4:16" ht="14" customHeight="1" thickBot="1" x14ac:dyDescent="0.35">
      <c r="D22" s="129" t="s">
        <v>28</v>
      </c>
      <c r="E22" s="130"/>
      <c r="F22" s="130"/>
      <c r="G22" s="131"/>
      <c r="J22" s="97" t="s">
        <v>30</v>
      </c>
      <c r="K22" s="98"/>
      <c r="L22" s="98"/>
      <c r="M22" s="98"/>
      <c r="N22" s="98"/>
      <c r="O22" s="98"/>
      <c r="P22" s="99"/>
    </row>
    <row r="23" spans="4:16" ht="14" customHeight="1" x14ac:dyDescent="0.3">
      <c r="D23" s="65">
        <v>2021</v>
      </c>
      <c r="E23" s="67">
        <f>(E15/E14)-1</f>
        <v>-1.9741217447252213E-3</v>
      </c>
      <c r="F23" s="69">
        <v>2025</v>
      </c>
      <c r="G23" s="67">
        <f>(G38/G37)-1</f>
        <v>3.5987434635695426E-2</v>
      </c>
      <c r="I23" s="18"/>
      <c r="J23" s="100"/>
      <c r="K23" s="101"/>
      <c r="L23" s="101"/>
      <c r="M23" s="101"/>
      <c r="N23" s="101"/>
      <c r="O23" s="101"/>
      <c r="P23" s="102"/>
    </row>
    <row r="24" spans="4:16" ht="14" customHeight="1" x14ac:dyDescent="0.3">
      <c r="D24" s="66">
        <v>2022</v>
      </c>
      <c r="E24" s="68">
        <f t="shared" ref="E24:E26" si="2">(E16/E15)-1</f>
        <v>9.1318688539223425E-2</v>
      </c>
      <c r="F24" s="70">
        <v>2026</v>
      </c>
      <c r="G24" s="68">
        <f t="shared" ref="G24:G26" si="3">(G39/G38)-1</f>
        <v>6.7262135971658532E-2</v>
      </c>
      <c r="I24" s="18"/>
      <c r="J24" s="100"/>
      <c r="K24" s="101"/>
      <c r="L24" s="101"/>
      <c r="M24" s="101"/>
      <c r="N24" s="101"/>
      <c r="O24" s="101"/>
      <c r="P24" s="102"/>
    </row>
    <row r="25" spans="4:16" ht="14" customHeight="1" x14ac:dyDescent="0.3">
      <c r="D25" s="66">
        <v>2023</v>
      </c>
      <c r="E25" s="68">
        <f t="shared" si="2"/>
        <v>1.9842616604039076E-2</v>
      </c>
      <c r="F25" s="70">
        <v>2027</v>
      </c>
      <c r="G25" s="68">
        <f t="shared" si="3"/>
        <v>7.4802205973389935E-3</v>
      </c>
      <c r="I25" s="18"/>
      <c r="J25" s="100"/>
      <c r="K25" s="101"/>
      <c r="L25" s="101"/>
      <c r="M25" s="101"/>
      <c r="N25" s="101"/>
      <c r="O25" s="101"/>
      <c r="P25" s="102"/>
    </row>
    <row r="26" spans="4:16" ht="14" customHeight="1" thickBot="1" x14ac:dyDescent="0.35">
      <c r="D26" s="71">
        <v>2024</v>
      </c>
      <c r="E26" s="72">
        <f t="shared" si="2"/>
        <v>2.8031714722884571E-2</v>
      </c>
      <c r="F26" s="73">
        <v>2028</v>
      </c>
      <c r="G26" s="72">
        <f t="shared" si="3"/>
        <v>6.2555143416638037E-2</v>
      </c>
      <c r="I26" s="18"/>
      <c r="J26" s="100"/>
      <c r="K26" s="101"/>
      <c r="L26" s="101"/>
      <c r="M26" s="101"/>
      <c r="N26" s="101"/>
      <c r="O26" s="101"/>
      <c r="P26" s="102"/>
    </row>
    <row r="27" spans="4:16" ht="18.5" customHeight="1" thickBot="1" x14ac:dyDescent="0.35">
      <c r="D27" s="50" t="s">
        <v>27</v>
      </c>
      <c r="E27" s="74">
        <f>AVERAGE(E23:E26)</f>
        <v>3.4304724530355463E-2</v>
      </c>
      <c r="F27" s="54" t="s">
        <v>36</v>
      </c>
      <c r="G27" s="53">
        <f>AVERAGE(G23:G26)</f>
        <v>4.3321233655332747E-2</v>
      </c>
      <c r="I27" s="18"/>
      <c r="J27" s="103"/>
      <c r="K27" s="104"/>
      <c r="L27" s="104"/>
      <c r="M27" s="104"/>
      <c r="N27" s="104"/>
      <c r="O27" s="104"/>
      <c r="P27" s="105"/>
    </row>
    <row r="28" spans="4:16" ht="18.5" customHeight="1" x14ac:dyDescent="0.3">
      <c r="D28" s="51"/>
      <c r="E28" s="52"/>
      <c r="F28" s="11"/>
      <c r="I28" s="18"/>
      <c r="J28" s="23"/>
      <c r="K28" s="23"/>
      <c r="L28" s="23"/>
      <c r="M28" s="23"/>
      <c r="N28" s="23"/>
      <c r="O28" s="23"/>
      <c r="P28" s="23"/>
    </row>
    <row r="29" spans="4:16" ht="20.5" customHeight="1" x14ac:dyDescent="0.3">
      <c r="F29" s="11"/>
      <c r="I29" s="11"/>
      <c r="J29" s="18"/>
      <c r="K29" s="18"/>
      <c r="L29" s="18"/>
      <c r="M29" s="18"/>
      <c r="N29" s="18"/>
      <c r="O29" s="18"/>
      <c r="P29" s="18"/>
    </row>
    <row r="30" spans="4:16" ht="20.5" customHeight="1" x14ac:dyDescent="0.3">
      <c r="D30" s="20"/>
      <c r="E30" s="19"/>
      <c r="F30" s="11"/>
      <c r="I30" s="11"/>
      <c r="J30" s="18"/>
      <c r="K30" s="18"/>
      <c r="L30" s="18"/>
      <c r="M30" s="18"/>
      <c r="N30" s="18"/>
      <c r="O30" s="18"/>
      <c r="P30" s="18"/>
    </row>
    <row r="31" spans="4:16" ht="19" customHeight="1" x14ac:dyDescent="0.3">
      <c r="F31" s="11"/>
      <c r="G31" s="20"/>
      <c r="H31" s="19"/>
      <c r="I31" s="11"/>
      <c r="J31" s="18"/>
      <c r="K31" s="18"/>
      <c r="L31" s="18"/>
      <c r="M31" s="18"/>
      <c r="N31" s="18"/>
      <c r="O31" s="18"/>
      <c r="P31" s="18"/>
    </row>
    <row r="32" spans="4:16" ht="27" customHeight="1" x14ac:dyDescent="0.3">
      <c r="E32" t="s">
        <v>32</v>
      </c>
      <c r="F32" t="s">
        <v>33</v>
      </c>
      <c r="G32" t="s">
        <v>31</v>
      </c>
      <c r="H32" s="49" t="s">
        <v>34</v>
      </c>
      <c r="I32" s="49" t="s">
        <v>35</v>
      </c>
      <c r="J32" s="18"/>
      <c r="K32" s="18"/>
      <c r="L32" s="18"/>
      <c r="M32" s="18"/>
      <c r="N32" s="18"/>
      <c r="O32" s="18"/>
      <c r="P32" s="18"/>
    </row>
    <row r="33" spans="5:30" ht="20.5" customHeight="1" x14ac:dyDescent="0.3">
      <c r="E33" s="47">
        <v>2020</v>
      </c>
      <c r="F33" s="48">
        <v>6465660</v>
      </c>
      <c r="G33"/>
      <c r="H33"/>
      <c r="I33"/>
      <c r="J33" s="18"/>
      <c r="K33" s="18"/>
      <c r="L33" s="18"/>
      <c r="M33" s="18"/>
      <c r="N33" s="18"/>
      <c r="O33" s="18"/>
      <c r="P33" s="18"/>
    </row>
    <row r="34" spans="5:30" ht="20.5" customHeight="1" x14ac:dyDescent="0.3">
      <c r="E34" s="47">
        <v>2021</v>
      </c>
      <c r="F34" s="48">
        <v>6452896</v>
      </c>
      <c r="G34"/>
      <c r="H34"/>
      <c r="I34"/>
      <c r="J34" s="18"/>
      <c r="K34" s="18"/>
      <c r="L34" s="18"/>
      <c r="M34" s="18"/>
      <c r="N34" s="18"/>
      <c r="O34" s="18"/>
      <c r="P34" s="18"/>
    </row>
    <row r="35" spans="5:30" ht="15.5" x14ac:dyDescent="0.3">
      <c r="E35" s="47">
        <v>2022</v>
      </c>
      <c r="F35" s="48">
        <v>7042166</v>
      </c>
      <c r="G35"/>
      <c r="H35"/>
      <c r="I35"/>
      <c r="J35" s="18"/>
      <c r="K35" s="18"/>
      <c r="L35" s="18"/>
      <c r="M35" s="18"/>
      <c r="N35" s="18"/>
      <c r="O35" s="18"/>
      <c r="P35" s="18"/>
    </row>
    <row r="36" spans="5:30" ht="15.5" x14ac:dyDescent="0.3">
      <c r="E36" s="47">
        <v>2023</v>
      </c>
      <c r="F36" s="48">
        <v>7181901</v>
      </c>
      <c r="G36"/>
      <c r="H36"/>
      <c r="I36"/>
      <c r="J36" s="18"/>
      <c r="K36" s="18"/>
      <c r="L36" s="18"/>
      <c r="M36" s="18"/>
      <c r="N36" s="18"/>
      <c r="O36" s="18"/>
      <c r="P36" s="18"/>
    </row>
    <row r="37" spans="5:30" ht="15.5" x14ac:dyDescent="0.3">
      <c r="E37" s="47">
        <v>2024</v>
      </c>
      <c r="F37" s="48">
        <v>7383222</v>
      </c>
      <c r="G37" s="48">
        <v>7383222</v>
      </c>
      <c r="H37" s="48">
        <v>7383222</v>
      </c>
      <c r="I37" s="48">
        <v>7383222</v>
      </c>
      <c r="J37" s="18"/>
      <c r="K37" s="18"/>
      <c r="L37" s="18"/>
      <c r="M37" s="18"/>
      <c r="N37" s="18"/>
      <c r="O37" s="18"/>
      <c r="P37" s="18"/>
    </row>
    <row r="38" spans="5:30" ht="15.5" x14ac:dyDescent="0.3">
      <c r="E38" s="47">
        <v>2025</v>
      </c>
      <c r="F38"/>
      <c r="G38" s="48">
        <f>_xlfn.FORECAST.ETS(E38,$F$33:$F$37,$E$33:$E$37,1,1)</f>
        <v>7648925.2191258278</v>
      </c>
      <c r="H38" s="48">
        <f>G38-_xlfn.FORECAST.ETS.CONFINT(E38,$F$33:$F$37,$E$33:$E$37,0.95,1,1)</f>
        <v>7414624.7775981603</v>
      </c>
      <c r="I38" s="48">
        <f>G38+_xlfn.FORECAST.ETS.CONFINT(E38,$F$33:$F$37,$E$33:$E$37,0.95,1,1)</f>
        <v>7883225.6606534952</v>
      </c>
      <c r="J38" s="18"/>
      <c r="K38" s="18"/>
      <c r="L38" s="18"/>
      <c r="M38" s="18"/>
      <c r="N38" s="18"/>
      <c r="O38" s="18"/>
      <c r="P38" s="18"/>
    </row>
    <row r="39" spans="5:30" ht="15.5" x14ac:dyDescent="0.3">
      <c r="E39" s="47">
        <v>2026</v>
      </c>
      <c r="F39"/>
      <c r="G39" s="48">
        <f>_xlfn.FORECAST.ETS(E39,$F$33:$F$37,$E$33:$E$37,1,1)</f>
        <v>8163408.2672517169</v>
      </c>
      <c r="H39" s="48">
        <f>G39-_xlfn.FORECAST.ETS.CONFINT(E39,$F$33:$F$37,$E$33:$E$37,0.95,1,1)</f>
        <v>7929106.7713744352</v>
      </c>
      <c r="I39" s="48">
        <f>G39+_xlfn.FORECAST.ETS.CONFINT(E39,$F$33:$F$37,$E$33:$E$37,0.95,1,1)</f>
        <v>8397709.7631289996</v>
      </c>
      <c r="J39" s="18"/>
      <c r="K39" s="18"/>
      <c r="L39" s="18"/>
      <c r="M39" s="18"/>
      <c r="N39" s="18"/>
      <c r="O39" s="18"/>
      <c r="P39" s="18"/>
    </row>
    <row r="40" spans="5:30" ht="15.5" x14ac:dyDescent="0.3">
      <c r="E40" s="47">
        <v>2027</v>
      </c>
      <c r="F40"/>
      <c r="G40" s="48">
        <f>_xlfn.FORECAST.ETS(E40,$F$33:$F$37,$E$33:$E$37,1,1)</f>
        <v>8224472.3619169015</v>
      </c>
      <c r="H40" s="48">
        <f>G40-_xlfn.FORECAST.ETS.CONFINT(E40,$F$33:$F$37,$E$33:$E$37,0.95,1,1)</f>
        <v>7988229.4214859847</v>
      </c>
      <c r="I40" s="48">
        <f>G40+_xlfn.FORECAST.ETS.CONFINT(E40,$F$33:$F$37,$E$33:$E$37,0.95,1,1)</f>
        <v>8460715.3023478184</v>
      </c>
      <c r="J40" s="18"/>
      <c r="K40" s="18"/>
      <c r="L40" s="18"/>
      <c r="M40" s="18"/>
      <c r="N40" s="18"/>
      <c r="O40" s="18"/>
      <c r="P40" s="18"/>
      <c r="Z40" s="21"/>
      <c r="AA40" s="21"/>
      <c r="AB40" s="21"/>
      <c r="AC40" s="21"/>
      <c r="AD40" s="21"/>
    </row>
    <row r="41" spans="5:30" ht="15.5" x14ac:dyDescent="0.3">
      <c r="E41" s="47">
        <v>2028</v>
      </c>
      <c r="F41"/>
      <c r="G41" s="48">
        <f>_xlfn.FORECAST.ETS(E41,$F$33:$F$37,$E$33:$E$37,1,1)</f>
        <v>8738955.4100427888</v>
      </c>
      <c r="H41" s="48">
        <f>G41-_xlfn.FORECAST.ETS.CONFINT(E41,$F$33:$F$37,$E$33:$E$37,0.95,1,1)</f>
        <v>8502709.5649557933</v>
      </c>
      <c r="I41" s="48">
        <f>G41+_xlfn.FORECAST.ETS.CONFINT(E41,$F$33:$F$37,$E$33:$E$37,0.95,1,1)</f>
        <v>8975201.2551297843</v>
      </c>
      <c r="J41" s="18"/>
      <c r="K41" s="18"/>
      <c r="L41" s="18"/>
      <c r="M41" s="18"/>
      <c r="N41" s="18"/>
      <c r="O41" s="18"/>
      <c r="P41" s="18"/>
      <c r="Z41" s="21"/>
      <c r="AA41" s="21"/>
      <c r="AB41" s="21"/>
      <c r="AC41" s="21"/>
      <c r="AD41" s="21"/>
    </row>
    <row r="42" spans="5:30" ht="15.5" x14ac:dyDescent="0.3">
      <c r="F42" s="11"/>
      <c r="G42" s="20"/>
      <c r="H42" s="19"/>
      <c r="I42" s="11"/>
      <c r="J42" s="18"/>
      <c r="K42" s="18"/>
      <c r="L42" s="18"/>
      <c r="M42" s="18"/>
      <c r="N42" s="18"/>
      <c r="O42" s="18"/>
      <c r="P42" s="18"/>
      <c r="Z42" s="21"/>
      <c r="AA42" s="21"/>
      <c r="AB42" s="21"/>
      <c r="AC42" s="21"/>
      <c r="AD42" s="21"/>
    </row>
    <row r="43" spans="5:30" ht="15.5" x14ac:dyDescent="0.3">
      <c r="F43" s="11"/>
      <c r="G43" s="20"/>
      <c r="H43" s="19"/>
      <c r="I43" s="11"/>
      <c r="J43" s="18"/>
      <c r="K43" s="18"/>
      <c r="L43" s="18"/>
      <c r="M43" s="18"/>
      <c r="N43" s="18"/>
      <c r="O43" s="18"/>
      <c r="P43" s="18"/>
      <c r="Z43" s="21"/>
      <c r="AA43" s="21"/>
      <c r="AB43" s="21"/>
      <c r="AC43" s="21"/>
      <c r="AD43" s="21"/>
    </row>
    <row r="44" spans="5:30" ht="15.5" x14ac:dyDescent="0.3">
      <c r="F44" s="11"/>
      <c r="G44" s="20"/>
      <c r="H44" s="19"/>
      <c r="I44" s="11"/>
      <c r="J44" s="18"/>
      <c r="K44" s="18"/>
      <c r="L44" s="18"/>
      <c r="M44" s="18"/>
      <c r="N44" s="18"/>
      <c r="O44" s="18"/>
      <c r="P44" s="18"/>
      <c r="Z44" s="21"/>
      <c r="AA44" s="21"/>
      <c r="AB44" s="21"/>
      <c r="AC44" s="21"/>
      <c r="AD44" s="21"/>
    </row>
    <row r="45" spans="5:30" ht="16" thickBot="1" x14ac:dyDescent="0.35">
      <c r="F45" s="11"/>
      <c r="G45" s="20"/>
      <c r="H45" s="19"/>
      <c r="I45" s="11"/>
      <c r="J45" s="18"/>
      <c r="K45" s="18"/>
      <c r="L45" s="18"/>
      <c r="M45" s="18"/>
      <c r="N45" s="18"/>
      <c r="O45" s="18"/>
      <c r="P45" s="18"/>
      <c r="Z45" s="20"/>
      <c r="AA45" s="20"/>
      <c r="AB45" s="20"/>
      <c r="AC45" s="20"/>
      <c r="AD45" s="20"/>
    </row>
    <row r="46" spans="5:30" ht="15.5" customHeight="1" x14ac:dyDescent="0.3">
      <c r="F46" s="11"/>
      <c r="G46" s="118" t="s">
        <v>37</v>
      </c>
      <c r="H46" s="119"/>
      <c r="I46" s="119"/>
      <c r="J46" s="119"/>
      <c r="K46" s="119"/>
      <c r="L46" s="120"/>
      <c r="M46" s="18"/>
      <c r="N46" s="18"/>
      <c r="O46" s="18"/>
      <c r="P46" s="18"/>
    </row>
    <row r="47" spans="5:30" ht="15.5" customHeight="1" x14ac:dyDescent="0.3">
      <c r="F47" s="11"/>
      <c r="G47" s="121"/>
      <c r="H47" s="122"/>
      <c r="I47" s="122"/>
      <c r="J47" s="122"/>
      <c r="K47" s="122"/>
      <c r="L47" s="123"/>
      <c r="M47" s="18"/>
      <c r="N47" s="18"/>
      <c r="O47" s="18"/>
      <c r="P47" s="18"/>
    </row>
    <row r="48" spans="5:30" ht="15.5" customHeight="1" x14ac:dyDescent="0.3">
      <c r="F48" s="11"/>
      <c r="G48" s="121"/>
      <c r="H48" s="122"/>
      <c r="I48" s="122"/>
      <c r="J48" s="122"/>
      <c r="K48" s="122"/>
      <c r="L48" s="123"/>
      <c r="M48" s="18"/>
      <c r="N48" s="18"/>
      <c r="O48" s="18"/>
      <c r="P48" s="18"/>
    </row>
    <row r="49" spans="4:25" ht="15.5" customHeight="1" x14ac:dyDescent="0.3">
      <c r="F49" s="11"/>
      <c r="G49" s="121"/>
      <c r="H49" s="122"/>
      <c r="I49" s="122"/>
      <c r="J49" s="122"/>
      <c r="K49" s="122"/>
      <c r="L49" s="123"/>
      <c r="M49" s="18"/>
      <c r="N49" s="18"/>
      <c r="O49" s="18"/>
      <c r="P49" s="18"/>
    </row>
    <row r="50" spans="4:25" ht="15.5" customHeight="1" x14ac:dyDescent="0.3">
      <c r="F50" s="11"/>
      <c r="G50" s="121"/>
      <c r="H50" s="122"/>
      <c r="I50" s="122"/>
      <c r="J50" s="122"/>
      <c r="K50" s="122"/>
      <c r="L50" s="123"/>
      <c r="M50" s="18"/>
      <c r="N50" s="18"/>
      <c r="O50" s="18"/>
      <c r="P50" s="18"/>
    </row>
    <row r="51" spans="4:25" ht="15.5" customHeight="1" thickBot="1" x14ac:dyDescent="0.35">
      <c r="F51" s="11"/>
      <c r="G51" s="124"/>
      <c r="H51" s="125"/>
      <c r="I51" s="125"/>
      <c r="J51" s="125"/>
      <c r="K51" s="125"/>
      <c r="L51" s="126"/>
      <c r="M51" s="18"/>
      <c r="N51" s="18"/>
      <c r="O51" s="18"/>
      <c r="P51" s="18"/>
    </row>
    <row r="52" spans="4:25" ht="15.5" customHeight="1" x14ac:dyDescent="0.3">
      <c r="F52" s="11"/>
      <c r="G52" s="55"/>
      <c r="H52" s="55"/>
      <c r="I52" s="55"/>
      <c r="J52" s="55"/>
      <c r="K52" s="55"/>
      <c r="L52" s="55"/>
      <c r="M52" s="18"/>
      <c r="N52" s="18"/>
      <c r="O52" s="18"/>
      <c r="P52" s="18"/>
    </row>
    <row r="53" spans="4:25" ht="16" customHeight="1" x14ac:dyDescent="0.3">
      <c r="F53" s="11"/>
      <c r="G53" s="55"/>
      <c r="H53" s="55"/>
      <c r="I53" s="55"/>
      <c r="J53" s="55"/>
      <c r="K53" s="55"/>
      <c r="L53" s="55"/>
      <c r="M53" s="18"/>
      <c r="N53" s="18"/>
      <c r="O53" s="18"/>
      <c r="P53" s="18"/>
    </row>
    <row r="54" spans="4:25" ht="14" customHeight="1" x14ac:dyDescent="0.3">
      <c r="F54" s="11"/>
      <c r="G54" s="20"/>
      <c r="H54" s="19"/>
      <c r="I54" s="56"/>
      <c r="J54" s="57"/>
      <c r="K54" s="57"/>
      <c r="L54" s="57"/>
      <c r="M54" s="18"/>
      <c r="N54" s="18"/>
      <c r="O54" s="18"/>
      <c r="P54" s="18"/>
    </row>
    <row r="55" spans="4:25" ht="14" customHeight="1" x14ac:dyDescent="0.3">
      <c r="D55" s="17"/>
      <c r="E55" s="19"/>
      <c r="F55" s="11"/>
      <c r="G55" s="11"/>
      <c r="H55" s="11"/>
      <c r="I55" s="11"/>
      <c r="J55" s="18"/>
      <c r="K55" s="18"/>
      <c r="L55" s="18"/>
      <c r="M55" s="18"/>
      <c r="N55" s="18"/>
      <c r="O55" s="18"/>
      <c r="P55" s="18"/>
    </row>
    <row r="56" spans="4:25" ht="14" customHeight="1" thickBot="1" x14ac:dyDescent="0.35"/>
    <row r="57" spans="4:25" ht="14" customHeight="1" x14ac:dyDescent="0.3">
      <c r="D57" s="3"/>
      <c r="E57" s="106" t="s">
        <v>23</v>
      </c>
      <c r="F57" s="107"/>
      <c r="G57" s="107"/>
      <c r="H57" s="107"/>
      <c r="I57" s="107"/>
      <c r="J57" s="107"/>
      <c r="K57" s="107"/>
      <c r="L57" s="108"/>
    </row>
    <row r="58" spans="4:25" ht="14" customHeight="1" thickBot="1" x14ac:dyDescent="0.35">
      <c r="D58" s="3"/>
      <c r="E58" s="109"/>
      <c r="F58" s="110"/>
      <c r="G58" s="110"/>
      <c r="H58" s="110"/>
      <c r="I58" s="110"/>
      <c r="J58" s="110"/>
      <c r="K58" s="110"/>
      <c r="L58" s="111"/>
    </row>
    <row r="59" spans="4:25" ht="14" customHeight="1" thickBot="1" x14ac:dyDescent="0.35">
      <c r="D59" s="3"/>
      <c r="E59" s="112" t="s">
        <v>13</v>
      </c>
      <c r="F59" s="113"/>
      <c r="G59" s="114"/>
      <c r="H59" s="115" t="s">
        <v>24</v>
      </c>
      <c r="I59" s="116"/>
      <c r="J59" s="116"/>
      <c r="K59" s="116"/>
      <c r="L59" s="117"/>
    </row>
    <row r="60" spans="4:25" ht="14" customHeight="1" x14ac:dyDescent="0.3">
      <c r="D60" s="27" t="s">
        <v>0</v>
      </c>
      <c r="E60" s="4" t="s">
        <v>14</v>
      </c>
      <c r="F60" s="5" t="s">
        <v>15</v>
      </c>
      <c r="G60" s="6" t="s">
        <v>17</v>
      </c>
      <c r="H60" s="4" t="s">
        <v>18</v>
      </c>
      <c r="I60" s="5" t="s">
        <v>19</v>
      </c>
      <c r="J60" s="5" t="s">
        <v>20</v>
      </c>
      <c r="K60" s="5" t="s">
        <v>21</v>
      </c>
      <c r="L60" s="6" t="s">
        <v>22</v>
      </c>
      <c r="V60" s="20"/>
      <c r="W60" s="21"/>
      <c r="X60" s="21"/>
      <c r="Y60" s="22"/>
    </row>
    <row r="61" spans="4:25" ht="14" customHeight="1" x14ac:dyDescent="0.3">
      <c r="D61" s="28">
        <v>2020</v>
      </c>
      <c r="E61" s="40">
        <f>H14/J14</f>
        <v>1.0059845634222455</v>
      </c>
      <c r="F61" s="12">
        <f>(H14-I14)/J14</f>
        <v>0.78857809503789522</v>
      </c>
      <c r="G61" s="8">
        <f>H14-J14</f>
        <v>8854</v>
      </c>
      <c r="H61" s="40">
        <f>F14/E14</f>
        <v>4.3590909512717962E-2</v>
      </c>
      <c r="I61" s="12">
        <f>G14/E14</f>
        <v>2.7179282548108006E-2</v>
      </c>
      <c r="J61" s="12">
        <f>G14/M14</f>
        <v>0.2945800107618628</v>
      </c>
      <c r="K61" s="12">
        <f>G14/K14</f>
        <v>4.7568248819198591E-2</v>
      </c>
      <c r="L61" s="13">
        <f>J61-K61</f>
        <v>0.24701176194266422</v>
      </c>
      <c r="V61" s="20"/>
      <c r="W61" s="21"/>
      <c r="X61" s="21"/>
      <c r="Y61" s="22"/>
    </row>
    <row r="62" spans="4:25" ht="14" customHeight="1" x14ac:dyDescent="0.3">
      <c r="D62" s="28">
        <v>2021</v>
      </c>
      <c r="E62" s="40">
        <f>H15/J15</f>
        <v>1.0095931879795847</v>
      </c>
      <c r="F62" s="12">
        <f>(H15-I15)/J15</f>
        <v>0.8098341968154682</v>
      </c>
      <c r="G62" s="8">
        <f>H15-J15</f>
        <v>14441</v>
      </c>
      <c r="H62" s="40">
        <f>F15/E15</f>
        <v>4.9783848988113243E-2</v>
      </c>
      <c r="I62" s="12">
        <f>G15/E15</f>
        <v>3.2782490218345374E-2</v>
      </c>
      <c r="J62" s="12">
        <f>G15/M15</f>
        <v>0.3333312323716181</v>
      </c>
      <c r="K62" s="12">
        <f>G15/K15</f>
        <v>5.5277740976818535E-2</v>
      </c>
      <c r="L62" s="13">
        <f>J62-K62</f>
        <v>0.27805349139479957</v>
      </c>
      <c r="V62" s="20"/>
      <c r="W62" s="21"/>
      <c r="X62" s="21"/>
      <c r="Y62" s="22"/>
    </row>
    <row r="63" spans="4:25" ht="14" customHeight="1" x14ac:dyDescent="0.3">
      <c r="D63" s="28">
        <v>2022</v>
      </c>
      <c r="E63" s="40">
        <f>H16/J16</f>
        <v>0.9626489758319462</v>
      </c>
      <c r="F63" s="12">
        <f>(H16-I16)/J16</f>
        <v>0.78529268071341818</v>
      </c>
      <c r="G63" s="8">
        <f>H16-J16</f>
        <v>-60091</v>
      </c>
      <c r="H63" s="40">
        <f>F16/E16</f>
        <v>4.5477059188891597E-2</v>
      </c>
      <c r="I63" s="12">
        <f>G16/E16</f>
        <v>2.7195041979981727E-2</v>
      </c>
      <c r="J63" s="12">
        <f>G16/M16</f>
        <v>0.30743644571157047</v>
      </c>
      <c r="K63" s="12">
        <f>G16/K16</f>
        <v>4.69770736809468E-2</v>
      </c>
      <c r="L63" s="13">
        <f>J63-K63</f>
        <v>0.26045937203062369</v>
      </c>
      <c r="V63" s="20"/>
      <c r="W63" s="21"/>
      <c r="X63" s="21"/>
      <c r="Y63" s="22"/>
    </row>
    <row r="64" spans="4:25" ht="14" customHeight="1" x14ac:dyDescent="0.3">
      <c r="D64" s="28">
        <v>2023</v>
      </c>
      <c r="E64" s="40">
        <f>H17/J17</f>
        <v>0.95609760416482215</v>
      </c>
      <c r="F64" s="12">
        <f>(H17-I17)/J17</f>
        <v>0.76793570969017644</v>
      </c>
      <c r="G64" s="8">
        <f>H17-J17</f>
        <v>-74379</v>
      </c>
      <c r="H64" s="40">
        <f>F17/E17</f>
        <v>4.2694545636315508E-2</v>
      </c>
      <c r="I64" s="12">
        <f>G17/E17</f>
        <v>2.8569873073995312E-2</v>
      </c>
      <c r="J64" s="12">
        <f>G17/M17</f>
        <v>0.3264195126917766</v>
      </c>
      <c r="K64" s="12">
        <f>G17/K17</f>
        <v>4.8892725805325526E-2</v>
      </c>
      <c r="L64" s="13">
        <f>J64-K64</f>
        <v>0.27752678688645105</v>
      </c>
      <c r="V64" s="20"/>
      <c r="W64" s="21"/>
      <c r="X64" s="21"/>
      <c r="Y64" s="22"/>
    </row>
    <row r="65" spans="4:25" ht="14.5" customHeight="1" thickBot="1" x14ac:dyDescent="0.35">
      <c r="D65" s="42">
        <v>2024</v>
      </c>
      <c r="E65" s="41">
        <f>H18/J18</f>
        <v>0.92286898162943698</v>
      </c>
      <c r="F65" s="14">
        <f>(H18-I18)/J18</f>
        <v>0.74485304651598472</v>
      </c>
      <c r="G65" s="10">
        <f>H18-J18</f>
        <v>-139982</v>
      </c>
      <c r="H65" s="41">
        <f>F18/E18</f>
        <v>4.9519166564407788E-2</v>
      </c>
      <c r="I65" s="14">
        <f>G18/E18</f>
        <v>3.5126534187919584E-2</v>
      </c>
      <c r="J65" s="14">
        <f>G18/M18</f>
        <v>0.42384371123709536</v>
      </c>
      <c r="K65" s="14">
        <f>G18/K18</f>
        <v>6.0486810760736268E-2</v>
      </c>
      <c r="L65" s="15">
        <f>J65-K65</f>
        <v>0.3633569004763591</v>
      </c>
      <c r="V65" s="20"/>
      <c r="W65" s="20"/>
      <c r="X65" s="20"/>
      <c r="Y65" s="20"/>
    </row>
    <row r="66" spans="4:25" ht="14.5" thickBot="1" x14ac:dyDescent="0.35">
      <c r="D66" s="132" t="s">
        <v>31</v>
      </c>
      <c r="E66" s="133"/>
      <c r="F66" s="133"/>
      <c r="G66" s="133"/>
      <c r="H66" s="133"/>
      <c r="I66" s="133"/>
      <c r="J66" s="133"/>
      <c r="K66" s="133"/>
      <c r="L66" s="134"/>
    </row>
    <row r="67" spans="4:25" ht="14.5" thickBot="1" x14ac:dyDescent="0.35">
      <c r="D67" s="46">
        <v>2025</v>
      </c>
      <c r="E67" s="43">
        <f>_xlfn.FORECAST.ETS($D$67, E61:E65, $D$61:$D$65)</f>
        <v>0.91399598453933306</v>
      </c>
      <c r="F67" s="44">
        <f t="shared" ref="F67:L67" si="4">_xlfn.FORECAST.ETS($D$67, F61:F65, $D$61:$D$65)</f>
        <v>0.73464511536870158</v>
      </c>
      <c r="G67" s="24">
        <f t="shared" si="4"/>
        <v>-150262.73459914071</v>
      </c>
      <c r="H67" s="43">
        <f t="shared" si="4"/>
        <v>4.5016375110845039E-2</v>
      </c>
      <c r="I67" s="44">
        <f t="shared" si="4"/>
        <v>3.2502841683195394E-2</v>
      </c>
      <c r="J67" s="44">
        <f t="shared" si="4"/>
        <v>0.43190061129084384</v>
      </c>
      <c r="K67" s="44">
        <f t="shared" si="4"/>
        <v>5.9007767430221479E-2</v>
      </c>
      <c r="L67" s="45">
        <f t="shared" si="4"/>
        <v>0.36793751053235157</v>
      </c>
    </row>
    <row r="68" spans="4:25" ht="14.5" thickBot="1" x14ac:dyDescent="0.35">
      <c r="D68" s="85"/>
      <c r="E68" s="85"/>
      <c r="F68" s="85"/>
      <c r="G68" s="85"/>
      <c r="H68" s="85"/>
      <c r="I68" s="85"/>
      <c r="J68" s="85"/>
      <c r="K68" s="85"/>
      <c r="L68" s="85"/>
      <c r="M68" s="16"/>
    </row>
    <row r="69" spans="4:25" x14ac:dyDescent="0.3">
      <c r="D69" s="97" t="s">
        <v>29</v>
      </c>
      <c r="E69" s="98"/>
      <c r="F69" s="98"/>
      <c r="G69" s="98"/>
      <c r="H69" s="98"/>
      <c r="I69" s="98"/>
      <c r="J69" s="98"/>
      <c r="K69" s="98"/>
      <c r="L69" s="99"/>
      <c r="M69" s="1"/>
    </row>
    <row r="70" spans="4:25" x14ac:dyDescent="0.3">
      <c r="D70" s="100"/>
      <c r="E70" s="101"/>
      <c r="F70" s="101"/>
      <c r="G70" s="101"/>
      <c r="H70" s="101"/>
      <c r="I70" s="101"/>
      <c r="J70" s="101"/>
      <c r="K70" s="101"/>
      <c r="L70" s="102"/>
      <c r="M70" s="1"/>
    </row>
    <row r="71" spans="4:25" x14ac:dyDescent="0.3">
      <c r="D71" s="100"/>
      <c r="E71" s="101"/>
      <c r="F71" s="101"/>
      <c r="G71" s="101"/>
      <c r="H71" s="101"/>
      <c r="I71" s="101"/>
      <c r="J71" s="101"/>
      <c r="K71" s="101"/>
      <c r="L71" s="102"/>
      <c r="M71" s="1"/>
    </row>
    <row r="72" spans="4:25" x14ac:dyDescent="0.3">
      <c r="D72" s="100"/>
      <c r="E72" s="101"/>
      <c r="F72" s="101"/>
      <c r="G72" s="101"/>
      <c r="H72" s="101"/>
      <c r="I72" s="101"/>
      <c r="J72" s="101"/>
      <c r="K72" s="101"/>
      <c r="L72" s="102"/>
      <c r="M72" s="1"/>
    </row>
    <row r="73" spans="4:25" x14ac:dyDescent="0.3">
      <c r="D73" s="100"/>
      <c r="E73" s="101"/>
      <c r="F73" s="101"/>
      <c r="G73" s="101"/>
      <c r="H73" s="101"/>
      <c r="I73" s="101"/>
      <c r="J73" s="101"/>
      <c r="K73" s="101"/>
      <c r="L73" s="102"/>
      <c r="M73" s="1"/>
    </row>
    <row r="74" spans="4:25" x14ac:dyDescent="0.3">
      <c r="D74" s="100"/>
      <c r="E74" s="101"/>
      <c r="F74" s="101"/>
      <c r="G74" s="101"/>
      <c r="H74" s="101"/>
      <c r="I74" s="101"/>
      <c r="J74" s="101"/>
      <c r="K74" s="101"/>
      <c r="L74" s="102"/>
    </row>
    <row r="75" spans="4:25" x14ac:dyDescent="0.3">
      <c r="D75" s="100"/>
      <c r="E75" s="101"/>
      <c r="F75" s="101"/>
      <c r="G75" s="101"/>
      <c r="H75" s="101"/>
      <c r="I75" s="101"/>
      <c r="J75" s="101"/>
      <c r="K75" s="101"/>
      <c r="L75" s="102"/>
    </row>
    <row r="76" spans="4:25" x14ac:dyDescent="0.3">
      <c r="D76" s="100"/>
      <c r="E76" s="101"/>
      <c r="F76" s="101"/>
      <c r="G76" s="101"/>
      <c r="H76" s="101"/>
      <c r="I76" s="101"/>
      <c r="J76" s="101"/>
      <c r="K76" s="101"/>
      <c r="L76" s="102"/>
    </row>
    <row r="77" spans="4:25" x14ac:dyDescent="0.3">
      <c r="D77" s="100"/>
      <c r="E77" s="101"/>
      <c r="F77" s="101"/>
      <c r="G77" s="101"/>
      <c r="H77" s="101"/>
      <c r="I77" s="101"/>
      <c r="J77" s="101"/>
      <c r="K77" s="101"/>
      <c r="L77" s="102"/>
    </row>
    <row r="78" spans="4:25" x14ac:dyDescent="0.3">
      <c r="D78" s="100"/>
      <c r="E78" s="101"/>
      <c r="F78" s="101"/>
      <c r="G78" s="101"/>
      <c r="H78" s="101"/>
      <c r="I78" s="101"/>
      <c r="J78" s="101"/>
      <c r="K78" s="101"/>
      <c r="L78" s="102"/>
    </row>
    <row r="79" spans="4:25" x14ac:dyDescent="0.3">
      <c r="D79" s="100"/>
      <c r="E79" s="101"/>
      <c r="F79" s="101"/>
      <c r="G79" s="101"/>
      <c r="H79" s="101"/>
      <c r="I79" s="101"/>
      <c r="J79" s="101"/>
      <c r="K79" s="101"/>
      <c r="L79" s="102"/>
    </row>
    <row r="80" spans="4:25" x14ac:dyDescent="0.3">
      <c r="D80" s="100"/>
      <c r="E80" s="101"/>
      <c r="F80" s="101"/>
      <c r="G80" s="101"/>
      <c r="H80" s="101"/>
      <c r="I80" s="101"/>
      <c r="J80" s="101"/>
      <c r="K80" s="101"/>
      <c r="L80" s="102"/>
    </row>
    <row r="81" spans="4:12" x14ac:dyDescent="0.3">
      <c r="D81" s="100"/>
      <c r="E81" s="101"/>
      <c r="F81" s="101"/>
      <c r="G81" s="101"/>
      <c r="H81" s="101"/>
      <c r="I81" s="101"/>
      <c r="J81" s="101"/>
      <c r="K81" s="101"/>
      <c r="L81" s="102"/>
    </row>
    <row r="82" spans="4:12" x14ac:dyDescent="0.3">
      <c r="D82" s="100"/>
      <c r="E82" s="101"/>
      <c r="F82" s="101"/>
      <c r="G82" s="101"/>
      <c r="H82" s="101"/>
      <c r="I82" s="101"/>
      <c r="J82" s="101"/>
      <c r="K82" s="101"/>
      <c r="L82" s="102"/>
    </row>
    <row r="83" spans="4:12" x14ac:dyDescent="0.3">
      <c r="D83" s="100"/>
      <c r="E83" s="101"/>
      <c r="F83" s="101"/>
      <c r="G83" s="101"/>
      <c r="H83" s="101"/>
      <c r="I83" s="101"/>
      <c r="J83" s="101"/>
      <c r="K83" s="101"/>
      <c r="L83" s="102"/>
    </row>
    <row r="84" spans="4:12" ht="14.5" thickBot="1" x14ac:dyDescent="0.35">
      <c r="D84" s="103"/>
      <c r="E84" s="104"/>
      <c r="F84" s="104"/>
      <c r="G84" s="104"/>
      <c r="H84" s="104"/>
      <c r="I84" s="104"/>
      <c r="J84" s="104"/>
      <c r="K84" s="104"/>
      <c r="L84" s="105"/>
    </row>
    <row r="92" spans="4:12" ht="27" customHeight="1" x14ac:dyDescent="0.3">
      <c r="D92" t="s">
        <v>32</v>
      </c>
      <c r="E92" t="s">
        <v>33</v>
      </c>
      <c r="F92" t="s">
        <v>31</v>
      </c>
      <c r="G92" s="49" t="s">
        <v>34</v>
      </c>
      <c r="H92" s="49" t="s">
        <v>35</v>
      </c>
    </row>
    <row r="93" spans="4:12" x14ac:dyDescent="0.3">
      <c r="D93" s="47">
        <v>2020</v>
      </c>
      <c r="E93" s="58">
        <v>0.2945800107618628</v>
      </c>
      <c r="F93"/>
      <c r="G93"/>
      <c r="H93"/>
    </row>
    <row r="94" spans="4:12" x14ac:dyDescent="0.3">
      <c r="D94" s="47">
        <v>2021</v>
      </c>
      <c r="E94" s="58">
        <v>0.3333312323716181</v>
      </c>
      <c r="F94"/>
      <c r="G94"/>
      <c r="H94"/>
    </row>
    <row r="95" spans="4:12" x14ac:dyDescent="0.3">
      <c r="D95" s="47">
        <v>2022</v>
      </c>
      <c r="E95" s="58">
        <v>0.30743644571157047</v>
      </c>
      <c r="F95"/>
      <c r="G95"/>
      <c r="H95"/>
    </row>
    <row r="96" spans="4:12" x14ac:dyDescent="0.3">
      <c r="D96" s="47">
        <v>2023</v>
      </c>
      <c r="E96" s="58">
        <v>0.3264195126917766</v>
      </c>
      <c r="F96"/>
      <c r="G96"/>
      <c r="H96"/>
    </row>
    <row r="97" spans="4:13" x14ac:dyDescent="0.3">
      <c r="D97" s="47">
        <v>2024</v>
      </c>
      <c r="E97" s="58">
        <v>0.42384371123709536</v>
      </c>
      <c r="F97" s="58">
        <v>0.42384371123709536</v>
      </c>
      <c r="G97" s="58">
        <v>0.42384371123709536</v>
      </c>
      <c r="H97" s="58">
        <v>0.42384371123709536</v>
      </c>
    </row>
    <row r="98" spans="4:13" x14ac:dyDescent="0.3">
      <c r="D98" s="47">
        <v>2025</v>
      </c>
      <c r="E98"/>
      <c r="F98" s="58">
        <f>_xlfn.FORECAST.ETS(D98,$E$93:$E$97,$D$93:$D$97,1,1)</f>
        <v>0.43190061129084384</v>
      </c>
      <c r="G98" s="58">
        <f>F98-_xlfn.FORECAST.ETS.CONFINT(D98,$E$93:$E$97,$D$93:$D$97,0.95,1,1)</f>
        <v>0.3708486622825804</v>
      </c>
      <c r="H98" s="58">
        <f>F98+_xlfn.FORECAST.ETS.CONFINT(D98,$E$93:$E$97,$D$93:$D$97,0.95,1,1)</f>
        <v>0.49295256029910728</v>
      </c>
    </row>
    <row r="99" spans="4:13" x14ac:dyDescent="0.3">
      <c r="D99" s="47">
        <v>2026</v>
      </c>
      <c r="E99"/>
      <c r="F99" s="58">
        <f>_xlfn.FORECAST.ETS(D99,$E$93:$E$97,$D$93:$D$97,1,1)</f>
        <v>0.45936013331726278</v>
      </c>
      <c r="G99" s="58">
        <f>F99-_xlfn.FORECAST.ETS.CONFINT(D99,$E$93:$E$97,$D$93:$D$97,0.95,1,1)</f>
        <v>0.39830790957584694</v>
      </c>
      <c r="H99" s="58">
        <f>F99+_xlfn.FORECAST.ETS.CONFINT(D99,$E$93:$E$97,$D$93:$D$97,0.95,1,1)</f>
        <v>0.52041235705867861</v>
      </c>
    </row>
    <row r="100" spans="4:13" x14ac:dyDescent="0.3">
      <c r="D100" s="47">
        <v>2027</v>
      </c>
      <c r="E100"/>
      <c r="F100" s="58">
        <f>_xlfn.FORECAST.ETS(D100,$E$93:$E$97,$D$93:$D$97,1,1)</f>
        <v>0.48681965534368166</v>
      </c>
      <c r="G100" s="58">
        <f>F100-_xlfn.FORECAST.ETS.CONFINT(D100,$E$93:$E$97,$D$93:$D$97,0.95,1,1)</f>
        <v>0.42576694319082525</v>
      </c>
      <c r="H100" s="58">
        <f>F100+_xlfn.FORECAST.ETS.CONFINT(D100,$E$93:$E$97,$D$93:$D$97,0.95,1,1)</f>
        <v>0.547872367496538</v>
      </c>
    </row>
    <row r="101" spans="4:13" x14ac:dyDescent="0.3">
      <c r="D101" s="47">
        <v>2028</v>
      </c>
      <c r="E101"/>
      <c r="F101" s="58">
        <f>_xlfn.FORECAST.ETS(D101,$E$93:$E$97,$D$93:$D$97,1,1)</f>
        <v>0.51427917737010054</v>
      </c>
      <c r="G101" s="58">
        <f>F101-_xlfn.FORECAST.ETS.CONFINT(D101,$E$93:$E$97,$D$93:$D$97,0.95,1,1)</f>
        <v>0.45322570208219015</v>
      </c>
      <c r="H101" s="58">
        <f>F101+_xlfn.FORECAST.ETS.CONFINT(D101,$E$93:$E$97,$D$93:$D$97,0.95,1,1)</f>
        <v>0.57533265265801092</v>
      </c>
    </row>
    <row r="105" spans="4:13" ht="14.5" thickBot="1" x14ac:dyDescent="0.35"/>
    <row r="106" spans="4:13" ht="14" customHeight="1" thickBot="1" x14ac:dyDescent="0.35">
      <c r="D106" s="127" t="s">
        <v>38</v>
      </c>
      <c r="E106" s="128"/>
      <c r="G106" s="118" t="s">
        <v>39</v>
      </c>
      <c r="H106" s="119"/>
      <c r="I106" s="119"/>
      <c r="J106" s="119"/>
      <c r="K106" s="119"/>
      <c r="L106" s="120"/>
      <c r="M106" s="60"/>
    </row>
    <row r="107" spans="4:13" ht="13.5" customHeight="1" x14ac:dyDescent="0.3">
      <c r="D107" s="63">
        <v>2025</v>
      </c>
      <c r="E107" s="64">
        <f>_xlfn.FORECAST.ETS(D107,$L$61:$L$65,$D$61:$D$65)</f>
        <v>0.36793751053235157</v>
      </c>
      <c r="G107" s="121"/>
      <c r="H107" s="122"/>
      <c r="I107" s="122"/>
      <c r="J107" s="122"/>
      <c r="K107" s="122"/>
      <c r="L107" s="123"/>
      <c r="M107" s="60"/>
    </row>
    <row r="108" spans="4:13" ht="14" customHeight="1" x14ac:dyDescent="0.3">
      <c r="D108" s="61">
        <v>2026</v>
      </c>
      <c r="E108" s="13">
        <f t="shared" ref="E108:E110" si="5">_xlfn.FORECAST.ETS(D108,$L$61:$L$65,$D$61:$D$65)</f>
        <v>0.3931195843426139</v>
      </c>
      <c r="G108" s="121"/>
      <c r="H108" s="122"/>
      <c r="I108" s="122"/>
      <c r="J108" s="122"/>
      <c r="K108" s="122"/>
      <c r="L108" s="123"/>
      <c r="M108" s="60"/>
    </row>
    <row r="109" spans="4:13" ht="14" customHeight="1" x14ac:dyDescent="0.3">
      <c r="D109" s="61">
        <v>2027</v>
      </c>
      <c r="E109" s="13">
        <f t="shared" si="5"/>
        <v>0.41830165815287618</v>
      </c>
      <c r="G109" s="121"/>
      <c r="H109" s="122"/>
      <c r="I109" s="122"/>
      <c r="J109" s="122"/>
      <c r="K109" s="122"/>
      <c r="L109" s="123"/>
      <c r="M109" s="60"/>
    </row>
    <row r="110" spans="4:13" ht="14" customHeight="1" thickBot="1" x14ac:dyDescent="0.35">
      <c r="D110" s="62">
        <v>2028</v>
      </c>
      <c r="E110" s="15">
        <f t="shared" si="5"/>
        <v>0.44348373196313851</v>
      </c>
      <c r="G110" s="121"/>
      <c r="H110" s="122"/>
      <c r="I110" s="122"/>
      <c r="J110" s="122"/>
      <c r="K110" s="122"/>
      <c r="L110" s="123"/>
      <c r="M110" s="60"/>
    </row>
    <row r="111" spans="4:13" ht="14" customHeight="1" x14ac:dyDescent="0.3">
      <c r="G111" s="121"/>
      <c r="H111" s="122"/>
      <c r="I111" s="122"/>
      <c r="J111" s="122"/>
      <c r="K111" s="122"/>
      <c r="L111" s="123"/>
      <c r="M111" s="60"/>
    </row>
    <row r="112" spans="4:13" ht="14" customHeight="1" x14ac:dyDescent="0.3">
      <c r="G112" s="121"/>
      <c r="H112" s="122"/>
      <c r="I112" s="122"/>
      <c r="J112" s="122"/>
      <c r="K112" s="122"/>
      <c r="L112" s="123"/>
      <c r="M112" s="60"/>
    </row>
    <row r="113" spans="5:13" ht="14" customHeight="1" thickBot="1" x14ac:dyDescent="0.35">
      <c r="G113" s="124"/>
      <c r="H113" s="125"/>
      <c r="I113" s="125"/>
      <c r="J113" s="125"/>
      <c r="K113" s="125"/>
      <c r="L113" s="126"/>
      <c r="M113" s="60"/>
    </row>
    <row r="114" spans="5:13" ht="14" customHeight="1" x14ac:dyDescent="0.3">
      <c r="G114" s="60"/>
      <c r="H114" s="60"/>
      <c r="I114" s="60"/>
      <c r="J114" s="60"/>
      <c r="K114" s="60"/>
      <c r="L114" s="60"/>
      <c r="M114" s="60"/>
    </row>
    <row r="115" spans="5:13" ht="14" customHeight="1" x14ac:dyDescent="0.3">
      <c r="G115" s="60"/>
      <c r="H115" s="60"/>
      <c r="I115" s="60"/>
      <c r="J115" s="60"/>
      <c r="K115" s="60"/>
      <c r="L115" s="60"/>
      <c r="M115" s="60"/>
    </row>
    <row r="116" spans="5:13" ht="14" customHeight="1" x14ac:dyDescent="0.3">
      <c r="F116" s="59"/>
      <c r="G116" s="59"/>
      <c r="H116" s="59"/>
      <c r="I116" s="59"/>
      <c r="J116" s="59"/>
      <c r="K116" s="59"/>
    </row>
    <row r="117" spans="5:13" ht="14" customHeight="1" x14ac:dyDescent="0.3">
      <c r="E117" s="59"/>
      <c r="F117" s="59"/>
      <c r="G117" s="59"/>
      <c r="H117" s="59"/>
      <c r="I117" s="59"/>
      <c r="J117" s="59"/>
      <c r="K117" s="59"/>
    </row>
    <row r="118" spans="5:13" ht="14" customHeight="1" x14ac:dyDescent="0.3">
      <c r="E118" s="59"/>
      <c r="F118" s="59"/>
      <c r="G118" s="59"/>
      <c r="H118" s="59"/>
      <c r="I118" s="59"/>
      <c r="J118" s="59"/>
      <c r="K118" s="59"/>
    </row>
    <row r="119" spans="5:13" ht="14" customHeight="1" x14ac:dyDescent="0.3">
      <c r="E119" s="59"/>
      <c r="F119" s="59"/>
      <c r="G119" s="59"/>
      <c r="H119" s="59"/>
      <c r="I119" s="59"/>
      <c r="J119" s="59"/>
      <c r="K119" s="59"/>
    </row>
    <row r="120" spans="5:13" ht="18" x14ac:dyDescent="0.3">
      <c r="E120" s="59"/>
    </row>
  </sheetData>
  <mergeCells count="16">
    <mergeCell ref="G106:L113"/>
    <mergeCell ref="D106:E106"/>
    <mergeCell ref="D69:L84"/>
    <mergeCell ref="D22:G22"/>
    <mergeCell ref="G46:L51"/>
    <mergeCell ref="D66:L66"/>
    <mergeCell ref="D3:P9"/>
    <mergeCell ref="D68:L68"/>
    <mergeCell ref="E12:G12"/>
    <mergeCell ref="H12:M12"/>
    <mergeCell ref="N12:P12"/>
    <mergeCell ref="D19:P19"/>
    <mergeCell ref="J22:P27"/>
    <mergeCell ref="E57:L58"/>
    <mergeCell ref="E59:G59"/>
    <mergeCell ref="H59:L59"/>
  </mergeCells>
  <pageMargins left="0.7" right="0.7" top="0.75" bottom="0.75" header="0.3" footer="0.3"/>
  <pageSetup paperSize="9" orientation="portrait" r:id="rId1"/>
  <ignoredErrors>
    <ignoredError sqref="F97 G97:H97 G37:I37" calculatedColumn="1"/>
  </ignoredErrors>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2025-12-28T12:40:05Z</dcterms:modified>
</cp:coreProperties>
</file>